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drawings/drawing2.xml" ContentType="application/vnd.openxmlformats-officedocument.drawing+xml"/>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31.xml" ContentType="application/vnd.ms-office.activeX+xml"/>
  <Override PartName="/xl/activeX/activeX231.bin" ContentType="application/vnd.ms-office.activeX"/>
  <Override PartName="/xl/tables/table1.xml" ContentType="application/vnd.openxmlformats-officedocument.spreadsheetml.table+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workbookPr showInkAnnotation="0" codeName="DieseArbeitsmappe"/>
  <mc:AlternateContent xmlns:mc="http://schemas.openxmlformats.org/markup-compatibility/2006">
    <mc:Choice Requires="x15">
      <x15ac:absPath xmlns:x15ac="http://schemas.microsoft.com/office/spreadsheetml/2010/11/ac" url="E:\PrjDotNet4.6.2\Terminplan\TerminPlan\bin\Debug\"/>
    </mc:Choice>
  </mc:AlternateContent>
  <bookViews>
    <workbookView xWindow="4305" yWindow="2145" windowWidth="24000" windowHeight="9735" tabRatio="703" activeTab="1"/>
  </bookViews>
  <sheets>
    <sheet name="Grunddaten" sheetId="12" r:id="rId1"/>
    <sheet name="Stammdaten" sheetId="2" r:id="rId2"/>
    <sheet name="Meilensteine" sheetId="324" r:id="rId3"/>
    <sheet name="History_Vorlage" sheetId="57" r:id="rId4"/>
  </sheets>
  <externalReferences>
    <externalReference r:id="rId5"/>
  </externalReferences>
  <definedNames>
    <definedName name="Aufgabe">Stammdaten!$AI$4:$AL$57</definedName>
    <definedName name="aufgabenEst">Grunddaten!$N$4:$Q$57</definedName>
    <definedName name="aufgabenInda">Grunddaten!$I$4:$L$57</definedName>
    <definedName name="aufgabenSchmid">Grunddaten!$D$4:$G$57</definedName>
    <definedName name="Benu1">Stammdaten!$U$3:$U$128</definedName>
    <definedName name="Benu2">Stammdaten!$W$3:$W$128</definedName>
    <definedName name="Benu3">Stammdaten!$Y$3:$Y$128</definedName>
    <definedName name="ColBalkenFertig">#REF!</definedName>
    <definedName name="ColBalkenHauptaufgabe">#REF!</definedName>
    <definedName name="ColBalkenTeilaufgabe">#REF!</definedName>
    <definedName name="ColHauptaufgabe">#REF!</definedName>
    <definedName name="ColLinieHeute">#REF!</definedName>
    <definedName name="ColMeilenstein">#REF!</definedName>
    <definedName name="ColSchriftfarbe">#REF!</definedName>
    <definedName name="ColSchriftUeberschriftbalken">#REF!</definedName>
    <definedName name="ColUeberschriftbalken">#REF!</definedName>
    <definedName name="ColUngeradeZeilen">#REF!</definedName>
    <definedName name="ColWochenende">#REF!</definedName>
    <definedName name="Datum1">Stammdaten!$N$3:$N$115</definedName>
    <definedName name="Dauer">Stammdaten!$I$3:$I$41</definedName>
    <definedName name="_xlnm.Print_Area" localSheetId="2">Meilensteine!$A$1:$I$51</definedName>
    <definedName name="_xlnm.Print_Area" localSheetId="1">Stammdaten!$A$1:$ACC$403</definedName>
    <definedName name="Feiertage">Stammdaten!$AG$4:$AG$58</definedName>
    <definedName name="Name1a">[1]Projektzeitachse!$F$23:$F$26</definedName>
    <definedName name="Next">Stammdaten!$AE$3:$AE$5</definedName>
    <definedName name="OutColBalkenFertig">#REF!</definedName>
    <definedName name="OutColBalkenHauptaufgabe">#REF!</definedName>
    <definedName name="OutColBalkenTeilaufgabe">#REF!</definedName>
    <definedName name="OutColHauptaufgabe">#REF!</definedName>
    <definedName name="OutColLinieHeute">#REF!</definedName>
    <definedName name="OutColMeilenstein">#REF!</definedName>
    <definedName name="OutColSchriftfarbe">#REF!</definedName>
    <definedName name="OutColSchriftUeberschriftbalken">#REF!</definedName>
    <definedName name="OutColUeberschriftbalken">#REF!</definedName>
    <definedName name="OutColUngeradeZeilen">#REF!</definedName>
    <definedName name="OutColWochenende">#REF!</definedName>
    <definedName name="Projektende">Meilensteine!$M$30</definedName>
    <definedName name="Projektstart">Meilensteine!$M$28</definedName>
    <definedName name="Status" localSheetId="2">Meilensteine!$H$23:$H$26</definedName>
    <definedName name="Status">Stammdaten!$S$3:$S$31</definedName>
    <definedName name="status1_a">[1]Projektzeitachse!$F$23:$F$26</definedName>
    <definedName name="Status1a">[1]Projektzeitachse!$F$23:$F$26</definedName>
    <definedName name="Verantwortlich">Meilensteine!$K$6:$K$22</definedName>
    <definedName name="Wer">Stammdaten!$F$3:$F$41</definedName>
  </definedNames>
  <calcPr calcId="162913" refMode="R1C1"/>
</workbook>
</file>

<file path=xl/calcChain.xml><?xml version="1.0" encoding="utf-8"?>
<calcChain xmlns="http://schemas.openxmlformats.org/spreadsheetml/2006/main">
  <c r="H2" i="324" l="1"/>
  <c r="H4" i="324" l="1"/>
  <c r="H3" i="324"/>
  <c r="N6" i="2" l="1"/>
  <c r="N5" i="2"/>
  <c r="AZ17" i="2" l="1"/>
  <c r="AZ12" i="2"/>
  <c r="AZ7" i="2"/>
  <c r="AZ2" i="2"/>
  <c r="N4" i="2" l="1"/>
  <c r="N115" i="2" l="1"/>
  <c r="N111" i="2"/>
  <c r="N107" i="2"/>
  <c r="N103" i="2"/>
  <c r="N99" i="2"/>
  <c r="N95" i="2"/>
  <c r="N91" i="2"/>
  <c r="N87" i="2"/>
  <c r="N79" i="2"/>
  <c r="N75" i="2"/>
  <c r="N67" i="2"/>
  <c r="N59" i="2"/>
  <c r="N55" i="2"/>
  <c r="N47" i="2"/>
  <c r="N39" i="2"/>
  <c r="N114" i="2"/>
  <c r="N110" i="2"/>
  <c r="N106" i="2"/>
  <c r="N102" i="2"/>
  <c r="N98" i="2"/>
  <c r="N94" i="2"/>
  <c r="N90" i="2"/>
  <c r="N86" i="2"/>
  <c r="N82" i="2"/>
  <c r="N78" i="2"/>
  <c r="N74" i="2"/>
  <c r="N70" i="2"/>
  <c r="N66" i="2"/>
  <c r="N62" i="2"/>
  <c r="N58" i="2"/>
  <c r="N54" i="2"/>
  <c r="N50" i="2"/>
  <c r="N46" i="2"/>
  <c r="N42" i="2"/>
  <c r="N38" i="2"/>
  <c r="N34" i="2"/>
  <c r="N30" i="2"/>
  <c r="N97" i="2"/>
  <c r="N81" i="2"/>
  <c r="N73" i="2"/>
  <c r="N65" i="2"/>
  <c r="N57" i="2"/>
  <c r="N49" i="2"/>
  <c r="N41" i="2"/>
  <c r="N33" i="2"/>
  <c r="N29" i="2"/>
  <c r="N113" i="2"/>
  <c r="N109" i="2"/>
  <c r="N105" i="2"/>
  <c r="N101" i="2"/>
  <c r="N93" i="2"/>
  <c r="N89" i="2"/>
  <c r="N85" i="2"/>
  <c r="N77" i="2"/>
  <c r="N69" i="2"/>
  <c r="N61" i="2"/>
  <c r="N53" i="2"/>
  <c r="N45" i="2"/>
  <c r="N37" i="2"/>
  <c r="N112" i="2"/>
  <c r="N108" i="2"/>
  <c r="N104" i="2"/>
  <c r="N100" i="2"/>
  <c r="N96" i="2"/>
  <c r="N92" i="2"/>
  <c r="N88" i="2"/>
  <c r="N84" i="2"/>
  <c r="N80" i="2"/>
  <c r="N76" i="2"/>
  <c r="N72" i="2"/>
  <c r="N68" i="2"/>
  <c r="N64" i="2"/>
  <c r="N60" i="2"/>
  <c r="N56" i="2"/>
  <c r="N52" i="2"/>
  <c r="N48" i="2"/>
  <c r="N44" i="2"/>
  <c r="N40" i="2"/>
  <c r="N36" i="2"/>
  <c r="N32" i="2"/>
  <c r="N28" i="2"/>
  <c r="N83" i="2"/>
  <c r="N71" i="2"/>
  <c r="N63" i="2"/>
  <c r="N51" i="2"/>
  <c r="N43" i="2"/>
  <c r="N35" i="2"/>
  <c r="N31" i="2"/>
  <c r="N27" i="2"/>
  <c r="AQ2" i="2" l="1"/>
  <c r="BB2" i="2"/>
  <c r="BC2" i="2"/>
  <c r="BD2" i="2"/>
  <c r="AQ7" i="2"/>
  <c r="BB7" i="2"/>
  <c r="BC7" i="2"/>
  <c r="BD7" i="2"/>
  <c r="AQ12" i="2"/>
  <c r="BB12" i="2"/>
  <c r="BC12" i="2"/>
  <c r="BD12" i="2"/>
  <c r="N26" i="2" l="1"/>
  <c r="N15" i="2" l="1"/>
  <c r="N25" i="2"/>
  <c r="N11" i="2"/>
  <c r="N19" i="2"/>
  <c r="N13" i="2"/>
  <c r="N21" i="2"/>
  <c r="N9" i="2"/>
  <c r="N17" i="2"/>
  <c r="N23" i="2"/>
  <c r="N8" i="2"/>
  <c r="N12" i="2"/>
  <c r="N16" i="2"/>
  <c r="N20" i="2"/>
  <c r="N24" i="2"/>
  <c r="N10" i="2"/>
  <c r="N14" i="2"/>
  <c r="N18" i="2"/>
  <c r="N22" i="2"/>
  <c r="AA6" i="2" l="1"/>
  <c r="AA5" i="2"/>
</calcChain>
</file>

<file path=xl/comments1.xml><?xml version="1.0" encoding="utf-8"?>
<comments xmlns="http://schemas.openxmlformats.org/spreadsheetml/2006/main">
  <authors>
    <author>Nobody</author>
    <author>Armin Brenner</author>
    <author>Brenner, Armin</author>
  </authors>
  <commentList>
    <comment ref="B45" authorId="0" shapeId="0">
      <text>
        <r>
          <rPr>
            <b/>
            <sz val="8"/>
            <color indexed="81"/>
            <rFont val="Tahoma"/>
            <family val="2"/>
          </rPr>
          <t>Hier das gewünschte Intervall zum Auffrischen des Status eingeben</t>
        </r>
        <r>
          <rPr>
            <sz val="8"/>
            <color indexed="81"/>
            <rFont val="Tahoma"/>
            <family val="2"/>
          </rPr>
          <t xml:space="preserve">
Beispiele:
für 2 Stunden:                        02:00:00
für 5 Minuten:                        00:05:00
für 10 Seckunden:                 00:00:10
kein autom. Auffrischen : 00:00:00</t>
        </r>
      </text>
    </comment>
    <comment ref="B49" authorId="1" shapeId="0">
      <text>
        <r>
          <rPr>
            <b/>
            <sz val="9"/>
            <color indexed="81"/>
            <rFont val="Tahoma"/>
            <family val="2"/>
          </rPr>
          <t xml:space="preserve">Hier einstellen, ob die Historie der Zeitänderungen sofort nach der Änderung erzeugt werden soll.
Möglichkeiten:
</t>
        </r>
        <r>
          <rPr>
            <sz val="9"/>
            <color indexed="81"/>
            <rFont val="Tahoma"/>
            <family val="2"/>
          </rPr>
          <t xml:space="preserve">sofort automatisch:                1
von Hand über Menü            0
</t>
        </r>
        <r>
          <rPr>
            <b/>
            <sz val="9"/>
            <color indexed="81"/>
            <rFont val="Tahoma"/>
            <family val="2"/>
          </rPr>
          <t>Achtung:Bei großen Tabellen sollte aus Geschwindigkeitsgründen dieser Wert auf 0 stehen und die Tabelle von Hand erzeugt werden</t>
        </r>
      </text>
    </comment>
    <comment ref="B52" authorId="0" shapeId="0">
      <text>
        <r>
          <rPr>
            <b/>
            <sz val="8"/>
            <color indexed="81"/>
            <rFont val="Tahoma"/>
            <family val="2"/>
          </rPr>
          <t>Hier einstellen, wie die Zeilenhöhe im Projektplan automatisch eingestellt werden soll</t>
        </r>
        <r>
          <rPr>
            <sz val="8"/>
            <color indexed="81"/>
            <rFont val="Tahoma"/>
            <family val="2"/>
          </rPr>
          <t xml:space="preserve">
nicht:                                                0
nur grau hinterlegte Zeilen:      1                  alle Zeilen:                                      2
</t>
        </r>
      </text>
    </comment>
    <comment ref="B55" authorId="1" shapeId="0">
      <text>
        <r>
          <rPr>
            <b/>
            <sz val="9"/>
            <color indexed="81"/>
            <rFont val="Tahoma"/>
            <family val="2"/>
          </rPr>
          <t xml:space="preserve">Hier einstellen, ob die Zeilenhöhe im Projektplan bei Zellen mit automatischen Zellenumbruch an den Inhalt der Zelle angepasst werden soll. Geprüft wird nur die Spalte 'C' (Bezeichnung des Arbeitsinhalts).
Möglichkeiten:
</t>
        </r>
        <r>
          <rPr>
            <sz val="9"/>
            <color indexed="81"/>
            <rFont val="Tahoma"/>
            <family val="2"/>
          </rPr>
          <t xml:space="preserve">automatisch:                             1
von Hand über Menü:          0
</t>
        </r>
        <r>
          <rPr>
            <b/>
            <sz val="9"/>
            <color indexed="81"/>
            <rFont val="Tahoma"/>
            <family val="2"/>
          </rPr>
          <t>Achtung:Bei großen Tabellen sollte aus Geschwindigkeitsgründen dieser Wert auf 0 stehen und die Tabelle von Hand korrigiert werden</t>
        </r>
      </text>
    </comment>
    <comment ref="B58" authorId="2" shapeId="0">
      <text>
        <r>
          <rPr>
            <b/>
            <sz val="9"/>
            <color indexed="81"/>
            <rFont val="Segoe UI"/>
            <family val="2"/>
          </rPr>
          <t xml:space="preserve">Art für die Erzeugung des Status
Möglichkeiten:
über Mittelwert:          1
über Formel:               0
</t>
        </r>
      </text>
    </comment>
  </commentList>
</comments>
</file>

<file path=xl/sharedStrings.xml><?xml version="1.0" encoding="utf-8"?>
<sst xmlns="http://schemas.openxmlformats.org/spreadsheetml/2006/main" count="620" uniqueCount="223">
  <si>
    <t>Aufgabe</t>
  </si>
  <si>
    <t>Start</t>
  </si>
  <si>
    <t>Dauer</t>
  </si>
  <si>
    <t>Status in %</t>
  </si>
  <si>
    <t>Pers.1</t>
  </si>
  <si>
    <t>Pers.2</t>
  </si>
  <si>
    <t>Pers.3</t>
  </si>
  <si>
    <t>Pers.4</t>
  </si>
  <si>
    <t>Pers.5</t>
  </si>
  <si>
    <t>Pers.6</t>
  </si>
  <si>
    <t>Pers.7</t>
  </si>
  <si>
    <t>Pers.9</t>
  </si>
  <si>
    <t>Pers.10</t>
  </si>
  <si>
    <t>Status</t>
  </si>
  <si>
    <t>Zeitfenster</t>
  </si>
  <si>
    <t>Wenn Wert grösser/gleich</t>
  </si>
  <si>
    <t>Tage dann Grün</t>
  </si>
  <si>
    <t>Tage dann Orange</t>
  </si>
  <si>
    <t>M</t>
  </si>
  <si>
    <t>Kürzel</t>
  </si>
  <si>
    <t>Vorname Name</t>
  </si>
  <si>
    <t>KeTe</t>
  </si>
  <si>
    <t>PrLe</t>
  </si>
  <si>
    <t>PrTe</t>
  </si>
  <si>
    <t>Projektkernteam</t>
  </si>
  <si>
    <t>Projektleitung</t>
  </si>
  <si>
    <t>Projektteam</t>
  </si>
  <si>
    <t>D</t>
  </si>
  <si>
    <t>F</t>
  </si>
  <si>
    <t>…</t>
  </si>
  <si>
    <t>Datum</t>
  </si>
  <si>
    <t>Nachfolgende Zeilen dürfen nicht verändert werden:</t>
  </si>
  <si>
    <t>A</t>
  </si>
  <si>
    <t>B</t>
  </si>
  <si>
    <t>C</t>
  </si>
  <si>
    <t>E</t>
  </si>
  <si>
    <t>G</t>
  </si>
  <si>
    <t>H</t>
  </si>
  <si>
    <t>I</t>
  </si>
  <si>
    <t>J</t>
  </si>
  <si>
    <t>Projektstart [PS] :</t>
  </si>
  <si>
    <t>Benutzerdef 2</t>
  </si>
  <si>
    <t>Benutzerdef 1</t>
  </si>
  <si>
    <t>Auswahl 1</t>
  </si>
  <si>
    <t>Auswahl 2</t>
  </si>
  <si>
    <t>Auswahl 3</t>
  </si>
  <si>
    <t>K</t>
  </si>
  <si>
    <t>L</t>
  </si>
  <si>
    <t>Benutzerdef 3</t>
  </si>
  <si>
    <t>Projektplan 4 M</t>
  </si>
  <si>
    <t>Projektplan 12 M</t>
  </si>
  <si>
    <t>Projektplan 9 M</t>
  </si>
  <si>
    <t>Firmenname/Name</t>
  </si>
  <si>
    <t>Adresse</t>
  </si>
  <si>
    <t>Email</t>
  </si>
  <si>
    <t>Projektname</t>
  </si>
  <si>
    <t>Projektleiter</t>
  </si>
  <si>
    <t>Projekt:</t>
  </si>
  <si>
    <t>Projektstart</t>
  </si>
  <si>
    <t>Arbeitsfreie Tage</t>
  </si>
  <si>
    <t>Berechnungsart</t>
  </si>
  <si>
    <t>Wochentage</t>
  </si>
  <si>
    <t>Steht nur bei Berechnung mit Arbeitstagen zur Verfügung</t>
  </si>
  <si>
    <t>Arbeitstage</t>
  </si>
  <si>
    <t>Projektmitglieder</t>
  </si>
  <si>
    <t>Angebot 15130-02, WuMa 11</t>
  </si>
  <si>
    <t>Konzept Freeze</t>
  </si>
  <si>
    <t>mech. Konstruktion</t>
  </si>
  <si>
    <t>Beschaffung / Fertigung</t>
  </si>
  <si>
    <t>Montage</t>
  </si>
  <si>
    <t>elekt. Konstruktion</t>
  </si>
  <si>
    <t>Softwareentwicklung</t>
  </si>
  <si>
    <t>Schaltschrankbau</t>
  </si>
  <si>
    <t>Installation</t>
  </si>
  <si>
    <t>Bereitstellung / Erprobungsteile</t>
  </si>
  <si>
    <t>Abnahme</t>
  </si>
  <si>
    <t>Demontage / Transport</t>
  </si>
  <si>
    <t>Aufbau / Installation</t>
  </si>
  <si>
    <t>BBÜ</t>
  </si>
  <si>
    <t>Station</t>
  </si>
  <si>
    <t>Description / Work Content
Bezeichnung / Arbeitsinhalt</t>
  </si>
  <si>
    <t>on hold</t>
  </si>
  <si>
    <t>Inbetriebname @ Schmid</t>
  </si>
  <si>
    <t>Inbetriebnahme @Kunde</t>
  </si>
  <si>
    <t>N</t>
  </si>
  <si>
    <t>Anzahl anzuzeigender Blöcke</t>
  </si>
  <si>
    <t>Wert</t>
  </si>
  <si>
    <t>Spalte</t>
  </si>
  <si>
    <t>alter Wert</t>
  </si>
  <si>
    <t>Timer Interfall (hh:mm:ss)</t>
  </si>
  <si>
    <t>Meilenstein</t>
  </si>
  <si>
    <t xml:space="preserve"> 28.09.15</t>
  </si>
  <si>
    <t>28.07.2015</t>
  </si>
  <si>
    <t>27.07.2015</t>
  </si>
  <si>
    <t>29.07.2015</t>
  </si>
  <si>
    <t>Revisionsstand :</t>
  </si>
  <si>
    <t>Revisionsstand</t>
  </si>
  <si>
    <t xml:space="preserve"> 29.09.15</t>
  </si>
  <si>
    <t>08.02.2016</t>
  </si>
  <si>
    <t>Zeilenhöhe einstellen</t>
  </si>
  <si>
    <t xml:space="preserve"> 01.10.15</t>
  </si>
  <si>
    <t>Arbeitsinhalte in Projektplan einfügen</t>
  </si>
  <si>
    <t>Historie erzeugen</t>
  </si>
  <si>
    <t>Delta erzeugen</t>
  </si>
  <si>
    <t>Buttons Eingabetabelle</t>
  </si>
  <si>
    <t>Buttons Projektplan</t>
  </si>
  <si>
    <t>Zeilen mit Dauer 0 ausblenden</t>
  </si>
  <si>
    <t>Zeilenhöhe bei mehrzeiligen Zellen anpassen     (0 = nein, 1 = ja)</t>
  </si>
  <si>
    <t>mech. Konstruktion 
Freigabe Kunden</t>
  </si>
  <si>
    <t>mech. Konstruktion 
Übergabe AV</t>
  </si>
  <si>
    <t>Überschrift</t>
  </si>
  <si>
    <t>onHold</t>
  </si>
  <si>
    <t>Referenz 
Ende</t>
  </si>
  <si>
    <t>Pos</t>
  </si>
  <si>
    <t>Aufgaben Schmid</t>
  </si>
  <si>
    <t xml:space="preserve">Aufgaben EST </t>
  </si>
  <si>
    <t>Bestelleingang</t>
  </si>
  <si>
    <t>Mech. Konstruktion</t>
  </si>
  <si>
    <t>SMEA Konstruktion</t>
  </si>
  <si>
    <t>Freigabe Baugruppen / Layout</t>
  </si>
  <si>
    <t>Motoren &amp; Schalterliste</t>
  </si>
  <si>
    <t>E-Kon</t>
  </si>
  <si>
    <t>E-Kon Freigabe</t>
  </si>
  <si>
    <t>Dispo. / Beschaffung</t>
  </si>
  <si>
    <t>Gehäuse</t>
  </si>
  <si>
    <t>Schaltschrankbau [Mon. el. Schaltsch.]</t>
  </si>
  <si>
    <t>Mech. Montage [Mech. Mod. / Endm.  Mech.]</t>
  </si>
  <si>
    <t>Elek. Montage</t>
  </si>
  <si>
    <t>Software</t>
  </si>
  <si>
    <t>Inbetriebnahme</t>
  </si>
  <si>
    <t>Restarbeiten</t>
  </si>
  <si>
    <t>Demontage / Transport [Dem./Verpackung]</t>
  </si>
  <si>
    <t>Aufbau / Installation [Install.-Mech./El.]</t>
  </si>
  <si>
    <t>Inbetriebnahme @ Kunde [Install.-IB]</t>
  </si>
  <si>
    <t>Restschmutzanalyse</t>
  </si>
  <si>
    <t>Schulungen</t>
  </si>
  <si>
    <t>Dokumentation</t>
  </si>
  <si>
    <t>Produktion</t>
  </si>
  <si>
    <t>Endabnahme</t>
  </si>
  <si>
    <t>Basislinie</t>
  </si>
  <si>
    <t>Position</t>
  </si>
  <si>
    <t>Aufgaben Inda Markert</t>
  </si>
  <si>
    <t>Probelauf [Einzel- / Komplettmodule]</t>
  </si>
  <si>
    <t>Kundenabnahme</t>
  </si>
  <si>
    <t>Verantwortlich</t>
  </si>
  <si>
    <t>nicht gestartet</t>
  </si>
  <si>
    <t>ÓÓÓ</t>
  </si>
  <si>
    <t>in Arbeit, geplant</t>
  </si>
  <si>
    <t>¿¿¿</t>
  </si>
  <si>
    <t>erledigt</t>
  </si>
  <si>
    <t>¢¢¢</t>
  </si>
  <si>
    <t>Übergabe Kick Off</t>
  </si>
  <si>
    <t>Abklärung</t>
  </si>
  <si>
    <t>PROJEKTDETAILS</t>
  </si>
  <si>
    <t>Detail</t>
  </si>
  <si>
    <t>Spalte1</t>
  </si>
  <si>
    <t>Meilensteine</t>
  </si>
  <si>
    <t>History bei Änderung sofort erzeugen                    (0 = nein, 1 = ja)</t>
  </si>
  <si>
    <t xml:space="preserve">Projektstart </t>
  </si>
  <si>
    <t>Description / Work Content 
 Bezeichnung / Arbeitsinhalt</t>
  </si>
  <si>
    <t>Projektleiter:</t>
  </si>
  <si>
    <t>Status über Mittelwert berechnen     (0 = nein, 1 = ja)</t>
  </si>
  <si>
    <t xml:space="preserve"> 26.04.16</t>
  </si>
  <si>
    <t xml:space="preserve"> 31.03.16</t>
  </si>
  <si>
    <t>Änderungen</t>
  </si>
  <si>
    <t>1 D</t>
  </si>
  <si>
    <t>2 D</t>
  </si>
  <si>
    <t>3 D</t>
  </si>
  <si>
    <t>4 D</t>
  </si>
  <si>
    <t>5 D</t>
  </si>
  <si>
    <t>6 D</t>
  </si>
  <si>
    <t>7 D</t>
  </si>
  <si>
    <t>8 D</t>
  </si>
  <si>
    <t>9 D</t>
  </si>
  <si>
    <t>10 D</t>
  </si>
  <si>
    <t>15 D</t>
  </si>
  <si>
    <t>20 D</t>
  </si>
  <si>
    <t>25 D</t>
  </si>
  <si>
    <t>30 D</t>
  </si>
  <si>
    <t>35 D</t>
  </si>
  <si>
    <t>40 D</t>
  </si>
  <si>
    <t>50 D</t>
  </si>
  <si>
    <t>60 D</t>
  </si>
  <si>
    <t>70 D</t>
  </si>
  <si>
    <t>80 D</t>
  </si>
  <si>
    <t>90 D</t>
  </si>
  <si>
    <t>100 D</t>
  </si>
  <si>
    <t>1 W. [ 7 D ]</t>
  </si>
  <si>
    <t>2 W.  [ 14 D ]</t>
  </si>
  <si>
    <t>3 W. [ 21 D ]</t>
  </si>
  <si>
    <t>4 W. [ 28 D ]</t>
  </si>
  <si>
    <t>5 W. [ 35 D ]</t>
  </si>
  <si>
    <t>6 W. [ 42 D ]</t>
  </si>
  <si>
    <t>7 W. [ 49 D ]</t>
  </si>
  <si>
    <t>8 W. [ 56 D ]</t>
  </si>
  <si>
    <t>9 W. [ 63 D ]</t>
  </si>
  <si>
    <t>10 W. [ 70 D ]</t>
  </si>
  <si>
    <t>11 W. [ 77 D ]</t>
  </si>
  <si>
    <t>12 W. [ 84 D ]</t>
  </si>
  <si>
    <t>13 W. [ 91 D ]</t>
  </si>
  <si>
    <t>14 W. [ 98 D ]</t>
  </si>
  <si>
    <t>15 W. [ 105 D ]</t>
  </si>
  <si>
    <t>16 W. [ 112 D ]</t>
  </si>
  <si>
    <t>Kick Off Meeting I</t>
  </si>
  <si>
    <t>Schmid Maschinenbau</t>
  </si>
  <si>
    <t>#BEZUG!</t>
  </si>
  <si>
    <t>19.10.2015</t>
  </si>
  <si>
    <t>29.06.2015</t>
  </si>
  <si>
    <t xml:space="preserve"> 10.09.15</t>
  </si>
  <si>
    <t xml:space="preserve"> 15.09.15</t>
  </si>
  <si>
    <t>Melchinger Str. 19; 72820 Sonnenbühl</t>
  </si>
  <si>
    <t>1D</t>
  </si>
  <si>
    <t>Vollständige Lieferung</t>
  </si>
  <si>
    <t>Abnahme inkl. Kundenfähige Teile</t>
  </si>
  <si>
    <t>Konzept</t>
  </si>
  <si>
    <t>Mech. Detailierung + Übergabe AV</t>
  </si>
  <si>
    <t>Beschaffung Elektrik</t>
  </si>
  <si>
    <t>Restarbeiten / Demontage / Transport</t>
  </si>
  <si>
    <t xml:space="preserve"> 29.08.16</t>
  </si>
  <si>
    <t xml:space="preserve"> 03.11.16</t>
  </si>
  <si>
    <t>Wolfgang Schmid</t>
  </si>
  <si>
    <t>w.schmid@schmid-maschinenbau.de</t>
  </si>
  <si>
    <t>Projekt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</si>
</sst>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4">
    <numFmt numFmtId="164" formatCode="_(&quot;€&quot;* #,##0.00_);_(&quot;€&quot;* \(#,##0.00\);_(&quot;€&quot;* &quot;-&quot;??_);_(@_)"/>
    <numFmt numFmtId="165" formatCode="_ * #,##0.00_ ;_ * \-#,##0.00_ ;_ * &quot;-&quot;??_ ;_ @_ "/>
    <numFmt numFmtId="166" formatCode="dd/mm/yy;@"/>
    <numFmt numFmtId="167" formatCode="0&quot; d&quot;"/>
    <numFmt numFmtId="168" formatCode="dd/mm/yyyy;@"/>
    <numFmt numFmtId="169" formatCode="0&quot; D&quot;"/>
    <numFmt numFmtId="170" formatCode="&quot;PS - &quot;dd/mm/yy"/>
    <numFmt numFmtId="171" formatCode="&quot;Max - &quot;dd/mm/yy"/>
    <numFmt numFmtId="172" formatCode="&quot;Min - &quot;dd/mm/yy"/>
    <numFmt numFmtId="173" formatCode="&quot;PS + 1W. - &quot;dd/mm/yy"/>
    <numFmt numFmtId="174" formatCode="&quot;PS + 2W. - &quot;dd/mm/yy"/>
    <numFmt numFmtId="175" formatCode="&quot;PS + 3W. - &quot;dd/mm/yy"/>
    <numFmt numFmtId="176" formatCode="&quot;PS + 4W. - &quot;dd/mm/yy"/>
    <numFmt numFmtId="177" formatCode="&quot;PS + 5W. - &quot;dd/mm/yy"/>
    <numFmt numFmtId="178" formatCode="&quot;PS + 6W. - &quot;dd/mm/yy"/>
    <numFmt numFmtId="179" formatCode="&quot;PS + 7W. - &quot;dd/mm/yy"/>
    <numFmt numFmtId="180" formatCode="&quot;PS + 8W. - &quot;dd/mm/yy"/>
    <numFmt numFmtId="181" formatCode="&quot;PS + 9W. - &quot;dd/mm/yy"/>
    <numFmt numFmtId="182" formatCode="&quot;PS + 10W. - &quot;dd/mm/yy"/>
    <numFmt numFmtId="183" formatCode="&quot;PS + 11W. - &quot;dd/mm/yy"/>
    <numFmt numFmtId="184" formatCode="&quot;PS + 12W. - &quot;dd/mm/yy"/>
    <numFmt numFmtId="185" formatCode="&quot;PS + 13W. - &quot;dd/mm/yy"/>
    <numFmt numFmtId="186" formatCode="&quot;PS + 14W. - &quot;dd/mm/yy"/>
    <numFmt numFmtId="187" formatCode="&quot;PS + 15W. - &quot;dd/mm/yy"/>
    <numFmt numFmtId="188" formatCode="&quot;PS + 16W. - &quot;dd/mm/yy"/>
    <numFmt numFmtId="189" formatCode="&quot;PS + 17W. - &quot;dd/mm/yy"/>
    <numFmt numFmtId="190" formatCode="&quot;PS + 18W. - &quot;dd/mm/yy"/>
    <numFmt numFmtId="191" formatCode="&quot;PS + 19W. - &quot;dd/mm/yy"/>
    <numFmt numFmtId="192" formatCode="&quot;PS + 20W. - &quot;dd/mm/yy"/>
    <numFmt numFmtId="193" formatCode="#.##"/>
    <numFmt numFmtId="194" formatCode="&quot;1 W. [ &quot;0&quot; D ]&quot;"/>
    <numFmt numFmtId="195" formatCode="&quot;2 W.  [ &quot;0&quot; D ]&quot;"/>
    <numFmt numFmtId="196" formatCode="&quot;3 W. [ &quot;0&quot; D ]&quot;"/>
    <numFmt numFmtId="197" formatCode="&quot;4 W. [ &quot;0&quot; D ]&quot;"/>
    <numFmt numFmtId="198" formatCode="&quot;5 W. [ &quot;0&quot; D ]&quot;"/>
    <numFmt numFmtId="199" formatCode="&quot;6 W. [ &quot;0&quot; D ]&quot;"/>
    <numFmt numFmtId="200" formatCode="&quot;7 W. [ &quot;0&quot; D ]&quot;"/>
    <numFmt numFmtId="201" formatCode="&quot;8 W. [ &quot;0&quot; D ]&quot;"/>
    <numFmt numFmtId="202" formatCode="&quot;9 W. [ &quot;0&quot; D ]&quot;"/>
    <numFmt numFmtId="203" formatCode="&quot;10 W. [ &quot;0&quot; D ]&quot;"/>
    <numFmt numFmtId="204" formatCode="&quot;11 W. [ &quot;0&quot; D ]&quot;"/>
    <numFmt numFmtId="205" formatCode="&quot;12 W. [ &quot;0&quot; D ]&quot;"/>
    <numFmt numFmtId="206" formatCode="&quot;13 W. [ &quot;0&quot; D ]&quot;"/>
    <numFmt numFmtId="207" formatCode="&quot;14 W. [ &quot;0&quot; D ]&quot;"/>
    <numFmt numFmtId="208" formatCode="&quot;15 W. [ &quot;0&quot; D ]&quot;"/>
    <numFmt numFmtId="209" formatCode="&quot;16 W. [ &quot;0&quot; D ]&quot;"/>
    <numFmt numFmtId="210" formatCode="&quot;PS + 21W. - &quot;dd/mm/yy"/>
    <numFmt numFmtId="211" formatCode="&quot;PS + 22W. - &quot;dd/mm/yy"/>
    <numFmt numFmtId="212" formatCode="&quot;PS + 23W. - &quot;dd/mm/yy"/>
    <numFmt numFmtId="213" formatCode="&quot;PS + 24W. - &quot;dd/mm/yy"/>
    <numFmt numFmtId="214" formatCode="&quot;PS + 25W. - &quot;dd/mm/yy"/>
    <numFmt numFmtId="215" formatCode="&quot;PS + 26W. - &quot;dd/mm/yy"/>
    <numFmt numFmtId="216" formatCode="&quot;PS + 27W. - &quot;dd/mm/yy"/>
    <numFmt numFmtId="217" formatCode="&quot;PS + 28W. - &quot;dd/mm/yy"/>
    <numFmt numFmtId="218" formatCode="&quot;PS + 29W. - &quot;dd/mm/yy"/>
    <numFmt numFmtId="219" formatCode="&quot;PS + 30W. - &quot;dd/mm/yy"/>
    <numFmt numFmtId="220" formatCode="&quot;PS + 31W. - &quot;dd/mm/yy"/>
    <numFmt numFmtId="221" formatCode="&quot;PS +32W. - &quot;dd/mm/yy"/>
    <numFmt numFmtId="222" formatCode="&quot;PS + 33W. - &quot;dd/mm/yy"/>
    <numFmt numFmtId="223" formatCode="&quot;PS + 34W. - &quot;dd/mm/yy"/>
    <numFmt numFmtId="224" formatCode="&quot;PS + 35W. - &quot;dd/mm/yy"/>
    <numFmt numFmtId="225" formatCode="&quot;PS + 36W. - &quot;dd/mm/yy"/>
    <numFmt numFmtId="226" formatCode="&quot;PS + 37W. - &quot;dd/mm/yy"/>
    <numFmt numFmtId="227" formatCode="&quot;PS + 38W. - &quot;dd/mm/yy"/>
    <numFmt numFmtId="228" formatCode="&quot;PS + 39W. - &quot;dd/mm/yy"/>
    <numFmt numFmtId="229" formatCode="&quot;PS + 40W. - &quot;dd/mm/yy"/>
    <numFmt numFmtId="230" formatCode="&quot;PS + 41W. - &quot;dd/mm/yy"/>
    <numFmt numFmtId="231" formatCode="&quot;PS + 42W. - &quot;dd/mm/yy"/>
    <numFmt numFmtId="232" formatCode="&quot;PS + 43W. - &quot;dd/mm/yy"/>
    <numFmt numFmtId="233" formatCode="&quot;PS + 44W. - &quot;dd/mm/yy"/>
    <numFmt numFmtId="234" formatCode="&quot;PS + 45W. - &quot;dd/mm/yy"/>
    <numFmt numFmtId="235" formatCode="&quot;PS + 46W. - &quot;dd/mm/yy"/>
    <numFmt numFmtId="236" formatCode="&quot;PS + 47W. - &quot;dd/mm/yy"/>
    <numFmt numFmtId="237" formatCode="&quot;PS + 48W. - &quot;dd/mm/yy"/>
    <numFmt numFmtId="238" formatCode="&quot;PS + 49W. - &quot;dd/mm/yy"/>
    <numFmt numFmtId="239" formatCode="&quot;PS + 50W. - &quot;dd/mm/yy"/>
    <numFmt numFmtId="240" formatCode="&quot;PS + 51W. - &quot;dd/mm/yy"/>
    <numFmt numFmtId="241" formatCode="&quot;PS + 52W. - &quot;dd/mm/yy"/>
    <numFmt numFmtId="242" formatCode="&quot;PS + 53W. - &quot;dd/mm/yy"/>
    <numFmt numFmtId="243" formatCode="&quot;PS + 54W. - &quot;dd/mm/yy"/>
    <numFmt numFmtId="244" formatCode="&quot;PS + 55W. - &quot;dd/mm/yy"/>
    <numFmt numFmtId="245" formatCode="&quot;PS + 56W. - &quot;dd/mm/yy"/>
    <numFmt numFmtId="246" formatCode="&quot;PS + 57W. - &quot;dd/mm/yy"/>
    <numFmt numFmtId="247" formatCode="&quot;PS + 58W. - &quot;dd/mm/yy"/>
    <numFmt numFmtId="248" formatCode="&quot;PS + 59W. - &quot;dd/mm/yy"/>
    <numFmt numFmtId="249" formatCode="&quot;PS + 60W. - &quot;dd/mm/yy"/>
    <numFmt numFmtId="250" formatCode="&quot;PS + 61W. - &quot;dd/mm/yy"/>
    <numFmt numFmtId="251" formatCode="&quot;PS + 62W. - &quot;dd/mm/yy"/>
    <numFmt numFmtId="252" formatCode="&quot;PS + 63W. - &quot;dd/mm/yy"/>
    <numFmt numFmtId="253" formatCode="&quot;PS + 64W. - &quot;dd/mm/yy"/>
    <numFmt numFmtId="254" formatCode="&quot;PS + 65W. - &quot;dd/mm/yy"/>
    <numFmt numFmtId="255" formatCode="&quot;PS + 66W. - &quot;dd/mm/yy"/>
    <numFmt numFmtId="256" formatCode="&quot;PS + 67W. - &quot;dd/mm/yy"/>
    <numFmt numFmtId="257" formatCode="&quot;PS + 68W. - &quot;dd/mm/yy"/>
    <numFmt numFmtId="258" formatCode="&quot;PS + 69W. - &quot;dd/mm/yy"/>
    <numFmt numFmtId="259" formatCode="&quot;PS + 70W. - &quot;dd/mm/yy"/>
    <numFmt numFmtId="260" formatCode="&quot;PS + 71W. - &quot;dd/mm/yy"/>
    <numFmt numFmtId="261" formatCode="&quot;PS + 72W. - &quot;dd/mm/yy"/>
    <numFmt numFmtId="262" formatCode="&quot;PS + 73W. - &quot;dd/mm/yy"/>
    <numFmt numFmtId="263" formatCode="&quot;PS + 74W. - &quot;dd/mm/yy"/>
    <numFmt numFmtId="264" formatCode="&quot;PS + 75W. - &quot;dd/mm/yy"/>
    <numFmt numFmtId="265" formatCode="&quot;PS + 76W. - &quot;dd/mm/yy"/>
    <numFmt numFmtId="266" formatCode="&quot;PS + 77W. - &quot;dd/mm/yy"/>
    <numFmt numFmtId="267" formatCode="&quot;PS + 78W. - &quot;dd/mm/yy"/>
    <numFmt numFmtId="268" formatCode="&quot;PS + 79W. - &quot;dd/mm/yy"/>
    <numFmt numFmtId="269" formatCode="&quot;PS + 80W. - &quot;dd/mm/yy"/>
    <numFmt numFmtId="270" formatCode="&quot;PS + 81W. - &quot;dd/mm/yy"/>
    <numFmt numFmtId="271" formatCode="&quot;PS + 82W. - &quot;dd/mm/yy"/>
    <numFmt numFmtId="272" formatCode="&quot;PS + 83W. - &quot;dd/mm/yy"/>
    <numFmt numFmtId="273" formatCode="&quot;PS + 84W. - &quot;dd/mm/yy"/>
    <numFmt numFmtId="274" formatCode="&quot;PS + 85W. - &quot;dd/mm/yy"/>
    <numFmt numFmtId="275" formatCode="&quot;PS + 86W. - &quot;dd/mm/yy"/>
    <numFmt numFmtId="276" formatCode="&quot;PS + 87W. - &quot;dd/mm/yy"/>
    <numFmt numFmtId="277" formatCode="&quot;PS + 88W. - &quot;dd/mm/yy"/>
    <numFmt numFmtId="278" formatCode="&quot;PS + 89W. - &quot;dd/mm/yy"/>
    <numFmt numFmtId="279" formatCode="&quot;PS + 90W. - &quot;dd/mm/yy"/>
    <numFmt numFmtId="280" formatCode="&quot;PS + 91W. - &quot;dd/mm/yy"/>
    <numFmt numFmtId="281" formatCode="&quot;PS + 92W. - &quot;dd/mm/yy"/>
    <numFmt numFmtId="282" formatCode="&quot;PS + 93W. - &quot;dd/mm/yy"/>
    <numFmt numFmtId="283" formatCode="&quot;PS + 94W. - &quot;dd/mm/yy"/>
    <numFmt numFmtId="284" formatCode="&quot;PS + 95W. - &quot;dd/mm/yy"/>
    <numFmt numFmtId="285" formatCode="&quot;PS + 96W. - &quot;dd/mm/yy"/>
    <numFmt numFmtId="286" formatCode="&quot;PS + 97W. - &quot;dd/mm/yy"/>
    <numFmt numFmtId="287" formatCode="&quot;PS + 98W. - &quot;dd/mm/yy"/>
    <numFmt numFmtId="288" formatCode="&quot;PS + 99W. - &quot;dd/mm/yy"/>
    <numFmt numFmtId="289" formatCode="&quot;PS + 100W. - &quot;dd/mm/yy"/>
    <numFmt numFmtId="290" formatCode="&quot;PS + 101W. - &quot;dd/mm/yy"/>
    <numFmt numFmtId="291" formatCode="&quot;PS + 102W. - &quot;dd/mm/yy"/>
    <numFmt numFmtId="292" formatCode="&quot;PS + 103W. - &quot;dd/mm/yy"/>
    <numFmt numFmtId="293" formatCode="&quot;PS + 104W. - &quot;dd/mm/yy"/>
    <numFmt numFmtId="294" formatCode="&quot;PS + 105W. - &quot;dd/mm/yy"/>
    <numFmt numFmtId="295" formatCode="&quot;PS + 106W. - &quot;dd/mm/yy"/>
    <numFmt numFmtId="296" formatCode="&quot;PS + 107W. - &quot;dd/mm/yy"/>
    <numFmt numFmtId="297" formatCode="&quot;PS + 108W. - &quot;dd/mm/yy"/>
  </numFmts>
  <fonts count="75" x14ac:knownFonts="1">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9"/>
      <color theme="1"/>
      <name val="Calibri"/>
      <family val="2"/>
      <scheme val="minor"/>
    </font>
    <font>
      <b/>
      <sz val="11"/>
      <color theme="0"/>
      <name val="Calibri"/>
      <family val="2"/>
      <scheme val="minor"/>
    </font>
    <font>
      <sz val="10"/>
      <name val="Arial"/>
      <family val="2"/>
    </font>
    <font>
      <sz val="11"/>
      <name val="Calibri"/>
      <family val="2"/>
      <scheme val="minor"/>
    </font>
    <font>
      <b/>
      <sz val="11"/>
      <name val="Calibri"/>
      <family val="2"/>
      <scheme val="minor"/>
    </font>
    <font>
      <sz val="8"/>
      <name val="Arial"/>
      <family val="2"/>
    </font>
    <font>
      <b/>
      <sz val="12"/>
      <name val="Calibri"/>
      <family val="2"/>
      <scheme val="minor"/>
    </font>
    <font>
      <u/>
      <sz val="11"/>
      <color theme="10"/>
      <name val="Calibri"/>
      <family val="2"/>
    </font>
    <font>
      <sz val="11"/>
      <color rgb="FFFFFFFF"/>
      <name val="Calibri"/>
      <family val="2"/>
      <scheme val="minor"/>
    </font>
    <font>
      <b/>
      <sz val="10"/>
      <color rgb="FFFFFFFF"/>
      <name val="Arial"/>
      <family val="2"/>
    </font>
    <font>
      <b/>
      <sz val="12"/>
      <color theme="1"/>
      <name val="Calibri"/>
      <family val="2"/>
      <scheme val="minor"/>
    </font>
    <font>
      <b/>
      <sz val="16"/>
      <color theme="1"/>
      <name val="Calibri"/>
      <family val="2"/>
      <scheme val="minor"/>
    </font>
    <font>
      <b/>
      <sz val="10"/>
      <color theme="1"/>
      <name val="Calibri"/>
      <family val="2"/>
      <scheme val="minor"/>
    </font>
    <font>
      <b/>
      <sz val="11"/>
      <color theme="1"/>
      <name val="Calibri"/>
      <family val="2"/>
      <scheme val="minor"/>
    </font>
    <font>
      <sz val="11"/>
      <color rgb="FFFF0000"/>
      <name val="Calibri"/>
      <family val="2"/>
      <scheme val="minor"/>
    </font>
    <font>
      <b/>
      <sz val="12"/>
      <color rgb="FFFF0000"/>
      <name val="Calibri"/>
      <family val="2"/>
      <scheme val="minor"/>
    </font>
    <font>
      <sz val="28"/>
      <color rgb="FFFF0000"/>
      <name val="Calibri"/>
      <family val="2"/>
      <scheme val="minor"/>
    </font>
    <font>
      <b/>
      <sz val="48"/>
      <color rgb="FFFF0000"/>
      <name val="Calibri"/>
      <family val="2"/>
      <scheme val="minor"/>
    </font>
    <font>
      <b/>
      <sz val="26"/>
      <color rgb="FFFF0000"/>
      <name val="Calibri"/>
      <family val="2"/>
      <scheme val="minor"/>
    </font>
    <font>
      <b/>
      <sz val="16"/>
      <color theme="1"/>
      <name val="Arial"/>
      <family val="2"/>
    </font>
    <font>
      <sz val="12"/>
      <color theme="1"/>
      <name val="Arial"/>
      <family val="2"/>
    </font>
    <font>
      <b/>
      <sz val="8"/>
      <color indexed="81"/>
      <name val="Tahoma"/>
      <family val="2"/>
    </font>
    <font>
      <sz val="8"/>
      <color indexed="81"/>
      <name val="Tahoma"/>
      <family val="2"/>
    </font>
    <font>
      <sz val="11"/>
      <color rgb="FFFFFF00"/>
      <name val="Calibri"/>
      <family val="2"/>
      <scheme val="minor"/>
    </font>
    <font>
      <sz val="10"/>
      <name val="Times New Roman"/>
      <family val="1"/>
    </font>
    <font>
      <sz val="9"/>
      <color indexed="81"/>
      <name val="Tahoma"/>
      <family val="2"/>
    </font>
    <font>
      <b/>
      <sz val="9"/>
      <color indexed="81"/>
      <name val="Tahoma"/>
      <family val="2"/>
    </font>
    <font>
      <b/>
      <sz val="10"/>
      <name val="Calibri"/>
      <family val="2"/>
      <scheme val="minor"/>
    </font>
    <font>
      <sz val="9"/>
      <name val="Calibri"/>
      <family val="2"/>
      <scheme val="minor"/>
    </font>
    <font>
      <b/>
      <sz val="28"/>
      <color theme="0"/>
      <name val="Calibri Light"/>
      <family val="2"/>
      <scheme val="major"/>
    </font>
    <font>
      <sz val="10"/>
      <color theme="1" tint="0.499984740745262"/>
      <name val="Calibri"/>
      <family val="2"/>
      <scheme val="minor"/>
    </font>
    <font>
      <b/>
      <sz val="20"/>
      <color theme="3"/>
      <name val="Calibri Light"/>
      <family val="1"/>
      <scheme val="major"/>
    </font>
    <font>
      <b/>
      <sz val="28"/>
      <name val="Calibri Light"/>
      <family val="2"/>
      <scheme val="major"/>
    </font>
    <font>
      <sz val="10"/>
      <name val="Calibri"/>
      <family val="2"/>
      <scheme val="minor"/>
    </font>
    <font>
      <b/>
      <sz val="11"/>
      <color rgb="FFFF0000"/>
      <name val="Wingdings 2"/>
      <family val="1"/>
      <charset val="2"/>
    </font>
    <font>
      <sz val="12"/>
      <color theme="1" tint="0.499984740745262"/>
      <name val="Wingdings 2"/>
      <family val="1"/>
      <charset val="2"/>
    </font>
    <font>
      <sz val="10"/>
      <color theme="1" tint="0.499984740745262"/>
      <name val="Calibri"/>
      <family val="2"/>
    </font>
    <font>
      <sz val="10"/>
      <color theme="0"/>
      <name val="Calibri"/>
      <family val="2"/>
    </font>
    <font>
      <sz val="10"/>
      <color theme="5"/>
      <name val="Calibri Light"/>
      <family val="2"/>
      <scheme val="major"/>
    </font>
    <font>
      <b/>
      <sz val="12"/>
      <color theme="0"/>
      <name val="Calibri"/>
      <family val="2"/>
    </font>
    <font>
      <b/>
      <sz val="14"/>
      <color theme="0"/>
      <name val="Calibri"/>
      <family val="2"/>
    </font>
    <font>
      <b/>
      <sz val="20"/>
      <color theme="0"/>
      <name val="Calibri"/>
      <family val="2"/>
      <scheme val="minor"/>
    </font>
    <font>
      <sz val="12"/>
      <color theme="1" tint="0.499984740745262"/>
      <name val="Calibri"/>
      <family val="2"/>
    </font>
    <font>
      <b/>
      <sz val="11"/>
      <color rgb="FF99D709"/>
      <name val="Wingdings 2"/>
      <family val="1"/>
      <charset val="2"/>
    </font>
    <font>
      <b/>
      <sz val="11"/>
      <color theme="5"/>
      <name val="Calibri"/>
      <family val="2"/>
      <scheme val="minor"/>
    </font>
    <font>
      <b/>
      <sz val="12"/>
      <color rgb="FF99D709"/>
      <name val="Calibri"/>
      <family val="2"/>
    </font>
    <font>
      <b/>
      <sz val="10"/>
      <color rgb="FF99D709"/>
      <name val="Calibri"/>
      <family val="2"/>
    </font>
    <font>
      <sz val="9"/>
      <color theme="0"/>
      <name val="Calibri"/>
      <family val="2"/>
    </font>
    <font>
      <u/>
      <sz val="7"/>
      <color theme="10"/>
      <name val="Arial"/>
      <family val="2"/>
    </font>
    <font>
      <b/>
      <sz val="22"/>
      <color theme="1"/>
      <name val="Calibri"/>
      <family val="2"/>
    </font>
    <font>
      <sz val="10"/>
      <color theme="1"/>
      <name val="Calibri"/>
      <family val="2"/>
    </font>
    <font>
      <b/>
      <sz val="12"/>
      <color theme="1"/>
      <name val="Calibri"/>
      <family val="2"/>
    </font>
    <font>
      <b/>
      <sz val="20"/>
      <color theme="1"/>
      <name val="Calibri"/>
      <family val="2"/>
    </font>
    <font>
      <b/>
      <sz val="18"/>
      <color theme="1"/>
      <name val="Calibri"/>
      <family val="2"/>
    </font>
    <font>
      <sz val="14"/>
      <color theme="1"/>
      <name val="Calibri"/>
      <family val="2"/>
    </font>
    <font>
      <sz val="12"/>
      <color theme="1"/>
      <name val="Calibri"/>
      <family val="2"/>
    </font>
    <font>
      <b/>
      <sz val="26"/>
      <color theme="4" tint="-0.24994659260841701"/>
      <name val="Calibri"/>
      <family val="2"/>
      <scheme val="minor"/>
    </font>
    <font>
      <b/>
      <sz val="28"/>
      <color theme="4" tint="-0.24994659260841701"/>
      <name val="Calibri"/>
      <family val="2"/>
      <scheme val="minor"/>
    </font>
    <font>
      <b/>
      <sz val="12"/>
      <color theme="4" tint="-0.24994659260841701"/>
      <name val="Calibri"/>
      <family val="2"/>
    </font>
    <font>
      <b/>
      <sz val="12"/>
      <color theme="4" tint="-0.249977111117893"/>
      <name val="Calibri"/>
      <family val="2"/>
      <scheme val="minor"/>
    </font>
    <font>
      <b/>
      <sz val="11"/>
      <color theme="7" tint="0.39997558519241921"/>
      <name val="Wingdings 2"/>
      <family val="1"/>
      <charset val="2"/>
    </font>
    <font>
      <sz val="11"/>
      <color rgb="FF002060"/>
      <name val="Calibri"/>
      <family val="2"/>
      <scheme val="minor"/>
    </font>
    <font>
      <b/>
      <sz val="10"/>
      <color rgb="FF002060"/>
      <name val="Arial"/>
      <family val="2"/>
    </font>
    <font>
      <b/>
      <sz val="12"/>
      <color rgb="FF002060"/>
      <name val="Arial"/>
      <family val="2"/>
    </font>
    <font>
      <sz val="11"/>
      <color theme="1" tint="4.9989318521683403E-2"/>
      <name val="Calibri"/>
      <family val="2"/>
      <scheme val="minor"/>
    </font>
    <font>
      <b/>
      <sz val="10"/>
      <color theme="1" tint="4.9989318521683403E-2"/>
      <name val="Arial"/>
      <family val="2"/>
    </font>
    <font>
      <sz val="8"/>
      <color theme="1" tint="4.9989318521683403E-2"/>
      <name val="Arial"/>
      <family val="2"/>
    </font>
    <font>
      <b/>
      <sz val="11"/>
      <color theme="1" tint="4.9989318521683403E-2"/>
      <name val="Calibri"/>
      <family val="2"/>
      <scheme val="minor"/>
    </font>
    <font>
      <b/>
      <sz val="16"/>
      <color theme="1" tint="4.9989318521683403E-2"/>
      <name val="Calibri"/>
      <family val="2"/>
    </font>
    <font>
      <sz val="12"/>
      <color theme="1" tint="4.9989318521683403E-2"/>
      <name val="Calibri"/>
      <family val="2"/>
    </font>
    <font>
      <b/>
      <sz val="9"/>
      <color indexed="81"/>
      <name val="Segoe UI"/>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indexed="22"/>
      </patternFill>
    </fill>
    <fill>
      <patternFill patternType="solid">
        <fgColor theme="3"/>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3" tint="9.9948118533890809E-2"/>
        <bgColor indexed="64"/>
      </patternFill>
    </fill>
    <fill>
      <patternFill patternType="solid">
        <fgColor rgb="FFF0F2F6"/>
        <bgColor indexed="64"/>
      </patternFill>
    </fill>
  </fills>
  <borders count="36">
    <border>
      <left/>
      <right/>
      <top/>
      <bottom/>
      <diagonal/>
    </border>
    <border>
      <left/>
      <right/>
      <top/>
      <bottom style="thick">
        <color rgb="FFFFFFFF"/>
      </bottom>
      <diagonal/>
    </border>
    <border>
      <left/>
      <right/>
      <top style="thick">
        <color rgb="FFFFFFFF"/>
      </top>
      <bottom style="thick">
        <color rgb="FFFFFFFF"/>
      </bottom>
      <diagonal/>
    </border>
    <border>
      <left style="medium">
        <color rgb="FFFFFFFF"/>
      </left>
      <right/>
      <top style="thick">
        <color rgb="FFFFFFFF"/>
      </top>
      <bottom style="thick">
        <color rgb="FFFFFFFF"/>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diagonal/>
    </border>
    <border>
      <left/>
      <right/>
      <top style="medium">
        <color theme="0"/>
      </top>
      <bottom style="medium">
        <color theme="0"/>
      </bottom>
      <diagonal/>
    </border>
    <border>
      <left/>
      <right style="thin">
        <color auto="1"/>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medium">
        <color theme="0"/>
      </top>
      <bottom style="medium">
        <color theme="0"/>
      </bottom>
      <diagonal/>
    </border>
    <border>
      <left style="medium">
        <color indexed="64"/>
      </left>
      <right style="medium">
        <color indexed="64"/>
      </right>
      <top style="medium">
        <color indexed="64"/>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3743705557422"/>
      </right>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3743705557422"/>
      </bottom>
      <diagonal/>
    </border>
    <border>
      <left/>
      <right style="thin">
        <color theme="0" tint="-0.14993743705557422"/>
      </right>
      <top/>
      <bottom/>
      <diagonal/>
    </border>
    <border>
      <left/>
      <right style="thin">
        <color theme="0" tint="-0.14993743705557422"/>
      </right>
      <top/>
      <bottom style="thin">
        <color theme="0" tint="-0.14993743705557422"/>
      </bottom>
      <diagonal/>
    </border>
    <border>
      <left style="thin">
        <color theme="0" tint="-0.1498764000366222"/>
      </left>
      <right style="thin">
        <color theme="0" tint="-0.1498764000366222"/>
      </right>
      <top style="thin">
        <color theme="0" tint="-0.1498764000366222"/>
      </top>
      <bottom/>
      <diagonal/>
    </border>
    <border>
      <left style="thin">
        <color theme="0" tint="-0.1498764000366222"/>
      </left>
      <right style="thin">
        <color theme="0" tint="-0.1498764000366222"/>
      </right>
      <top/>
      <bottom/>
      <diagonal/>
    </border>
  </borders>
  <cellStyleXfs count="26">
    <xf numFmtId="0" fontId="0" fillId="0" borderId="0"/>
    <xf numFmtId="9" fontId="3" fillId="0" borderId="0" applyFont="0" applyFill="0" applyBorder="0" applyAlignment="0" applyProtection="0"/>
    <xf numFmtId="0" fontId="6" fillId="0" borderId="0"/>
    <xf numFmtId="14" fontId="9" fillId="0" borderId="0" applyFont="0" applyFill="0" applyBorder="0" applyAlignment="0" applyProtection="0"/>
    <xf numFmtId="165" fontId="6" fillId="0" borderId="0" applyFont="0" applyFill="0" applyBorder="0" applyAlignment="0" applyProtection="0"/>
    <xf numFmtId="168" fontId="6" fillId="0" borderId="0">
      <alignment horizontal="right" vertical="top"/>
      <protection locked="0" hidden="1"/>
    </xf>
    <xf numFmtId="3" fontId="9" fillId="0" borderId="0" applyFont="0" applyFill="0" applyBorder="0" applyAlignment="0" applyProtection="0"/>
    <xf numFmtId="0" fontId="11" fillId="0" borderId="0" applyNumberFormat="0" applyFill="0" applyBorder="0" applyAlignment="0" applyProtection="0">
      <alignment vertical="top"/>
      <protection locked="0"/>
    </xf>
    <xf numFmtId="0" fontId="2" fillId="0" borderId="0"/>
    <xf numFmtId="0" fontId="28" fillId="0" borderId="0">
      <alignment vertical="center"/>
    </xf>
    <xf numFmtId="9" fontId="6" fillId="0" borderId="0" applyFont="0" applyFill="0" applyBorder="0" applyAlignment="0" applyProtection="0"/>
    <xf numFmtId="0" fontId="6" fillId="0" borderId="0"/>
    <xf numFmtId="2" fontId="6" fillId="5" borderId="27" applyFill="0" applyBorder="0" applyAlignment="0">
      <alignment horizontal="left"/>
    </xf>
    <xf numFmtId="0" fontId="6" fillId="0" borderId="0" applyNumberFormat="0" applyFill="0" applyBorder="0">
      <alignment horizontal="left"/>
      <protection locked="0"/>
    </xf>
    <xf numFmtId="164" fontId="6" fillId="0" borderId="0" applyFont="0" applyFill="0" applyBorder="0" applyAlignment="0" applyProtection="0"/>
    <xf numFmtId="0" fontId="9" fillId="0" borderId="0"/>
    <xf numFmtId="0" fontId="33" fillId="6" borderId="0" applyNumberFormat="0" applyBorder="0" applyAlignment="0" applyProtection="0"/>
    <xf numFmtId="0" fontId="34" fillId="0" borderId="0">
      <alignment vertical="center"/>
    </xf>
    <xf numFmtId="0" fontId="35" fillId="0" borderId="0" applyNumberFormat="0" applyFill="0" applyBorder="0" applyAlignment="0" applyProtection="0"/>
    <xf numFmtId="0" fontId="34" fillId="9" borderId="0">
      <alignment vertical="center"/>
    </xf>
    <xf numFmtId="0" fontId="42" fillId="6" borderId="0" applyNumberFormat="0" applyBorder="0" applyAlignment="0" applyProtection="0"/>
    <xf numFmtId="0" fontId="45" fillId="6" borderId="0" applyNumberFormat="0" applyBorder="0" applyAlignment="0" applyProtection="0"/>
    <xf numFmtId="0" fontId="48" fillId="6" borderId="0" applyNumberFormat="0" applyBorder="0" applyAlignment="0" applyProtection="0"/>
    <xf numFmtId="0" fontId="52" fillId="0" borderId="0" applyNumberFormat="0" applyFill="0" applyBorder="0" applyAlignment="0" applyProtection="0">
      <alignment vertical="top"/>
      <protection locked="0"/>
    </xf>
    <xf numFmtId="0" fontId="1" fillId="0" borderId="0"/>
    <xf numFmtId="0" fontId="1" fillId="0" borderId="0"/>
  </cellStyleXfs>
  <cellXfs count="377">
    <xf numFmtId="0" fontId="0" fillId="0" borderId="0" xfId="0"/>
    <xf numFmtId="0" fontId="6" fillId="3" borderId="0" xfId="0" applyFont="1" applyFill="1" applyBorder="1" applyProtection="1"/>
    <xf numFmtId="0" fontId="0" fillId="0" borderId="0" xfId="0" applyAlignment="1">
      <alignment horizontal="center"/>
    </xf>
    <xf numFmtId="0" fontId="0" fillId="0" borderId="0" xfId="0" applyBorder="1"/>
    <xf numFmtId="0" fontId="7" fillId="0" borderId="0" xfId="0" applyFont="1"/>
    <xf numFmtId="0" fontId="12" fillId="0" borderId="0" xfId="0" applyFont="1"/>
    <xf numFmtId="0" fontId="4" fillId="0" borderId="2" xfId="0" applyFont="1" applyBorder="1" applyAlignment="1">
      <alignment vertical="center"/>
    </xf>
    <xf numFmtId="166" fontId="4" fillId="0" borderId="2" xfId="0" applyNumberFormat="1" applyFont="1" applyBorder="1" applyAlignment="1">
      <alignment vertical="center"/>
    </xf>
    <xf numFmtId="0" fontId="16" fillId="0" borderId="1" xfId="0" applyFont="1" applyBorder="1" applyAlignment="1" applyProtection="1">
      <alignment vertical="center"/>
      <protection locked="0"/>
    </xf>
    <xf numFmtId="0" fontId="16" fillId="0" borderId="1" xfId="0" applyFont="1" applyBorder="1" applyAlignment="1" applyProtection="1">
      <alignment horizontal="center" vertical="center"/>
      <protection locked="0"/>
    </xf>
    <xf numFmtId="166" fontId="16" fillId="0" borderId="1" xfId="0" applyNumberFormat="1" applyFont="1" applyBorder="1" applyAlignment="1" applyProtection="1">
      <alignment horizontal="center" vertical="center"/>
      <protection locked="0"/>
    </xf>
    <xf numFmtId="169" fontId="16" fillId="0" borderId="1" xfId="0" applyNumberFormat="1" applyFont="1" applyBorder="1" applyAlignment="1" applyProtection="1">
      <alignment horizontal="center" vertical="center"/>
      <protection locked="0"/>
    </xf>
    <xf numFmtId="166" fontId="16" fillId="0" borderId="1" xfId="0" applyNumberFormat="1" applyFont="1" applyBorder="1" applyAlignment="1">
      <alignment horizontal="center" vertical="center"/>
    </xf>
    <xf numFmtId="9" fontId="16" fillId="0" borderId="1" xfId="1" applyFont="1" applyBorder="1" applyAlignment="1" applyProtection="1">
      <alignment horizontal="right" vertical="center"/>
      <protection locked="0"/>
    </xf>
    <xf numFmtId="0" fontId="16" fillId="0" borderId="1" xfId="1" applyNumberFormat="1" applyFont="1" applyBorder="1" applyAlignment="1" applyProtection="1">
      <alignment horizontal="right" vertical="center"/>
      <protection hidden="1"/>
    </xf>
    <xf numFmtId="0" fontId="0" fillId="0" borderId="0" xfId="0" applyAlignment="1">
      <alignment horizontal="left"/>
    </xf>
    <xf numFmtId="0" fontId="17" fillId="0" borderId="0" xfId="0" applyFont="1"/>
    <xf numFmtId="0" fontId="7" fillId="0" borderId="5" xfId="0" applyFont="1" applyBorder="1" applyProtection="1">
      <protection locked="0"/>
    </xf>
    <xf numFmtId="0" fontId="11" fillId="0" borderId="5" xfId="7" applyBorder="1" applyAlignment="1" applyProtection="1">
      <protection locked="0"/>
    </xf>
    <xf numFmtId="14" fontId="7" fillId="0" borderId="5" xfId="0" applyNumberFormat="1" applyFont="1" applyBorder="1" applyAlignment="1" applyProtection="1">
      <alignment horizontal="left"/>
      <protection locked="0"/>
    </xf>
    <xf numFmtId="0" fontId="12" fillId="0" borderId="0" xfId="0" applyFont="1" applyBorder="1"/>
    <xf numFmtId="0" fontId="0" fillId="0" borderId="0" xfId="0" applyBorder="1" applyProtection="1">
      <protection locked="0"/>
    </xf>
    <xf numFmtId="0" fontId="7" fillId="0" borderId="7" xfId="0" applyFont="1" applyBorder="1" applyProtection="1">
      <protection locked="0"/>
    </xf>
    <xf numFmtId="0" fontId="0" fillId="0" borderId="8" xfId="0" applyFill="1" applyBorder="1" applyProtection="1">
      <protection locked="0"/>
    </xf>
    <xf numFmtId="0" fontId="0" fillId="0" borderId="8" xfId="0" applyBorder="1" applyProtection="1">
      <protection locked="0"/>
    </xf>
    <xf numFmtId="0" fontId="0" fillId="0" borderId="4" xfId="0" applyBorder="1" applyProtection="1">
      <protection locked="0"/>
    </xf>
    <xf numFmtId="9" fontId="0" fillId="0" borderId="4" xfId="1" applyFont="1" applyBorder="1" applyProtection="1">
      <protection locked="0"/>
    </xf>
    <xf numFmtId="9" fontId="7" fillId="3" borderId="7" xfId="1" applyFont="1" applyFill="1" applyBorder="1"/>
    <xf numFmtId="9" fontId="0" fillId="0" borderId="8" xfId="1" applyFont="1" applyBorder="1" applyProtection="1">
      <protection locked="0"/>
    </xf>
    <xf numFmtId="0" fontId="0" fillId="0" borderId="8" xfId="0" applyBorder="1"/>
    <xf numFmtId="0" fontId="0" fillId="0" borderId="4" xfId="0" applyBorder="1"/>
    <xf numFmtId="0" fontId="7" fillId="0" borderId="0" xfId="0" applyFont="1" applyBorder="1"/>
    <xf numFmtId="0" fontId="6" fillId="3" borderId="9" xfId="0" applyFont="1" applyFill="1" applyBorder="1" applyAlignment="1" applyProtection="1">
      <alignment horizontal="left" vertical="center"/>
    </xf>
    <xf numFmtId="1" fontId="7" fillId="0" borderId="10" xfId="0" applyNumberFormat="1" applyFont="1" applyBorder="1" applyProtection="1">
      <protection locked="0"/>
    </xf>
    <xf numFmtId="0" fontId="6" fillId="3" borderId="11" xfId="0" applyFont="1" applyFill="1" applyBorder="1" applyProtection="1"/>
    <xf numFmtId="0" fontId="6" fillId="3" borderId="12" xfId="0" applyFont="1" applyFill="1" applyBorder="1" applyAlignment="1" applyProtection="1">
      <alignment horizontal="left" vertical="center"/>
    </xf>
    <xf numFmtId="0" fontId="6" fillId="3" borderId="13" xfId="0" applyFont="1" applyFill="1" applyBorder="1" applyProtection="1"/>
    <xf numFmtId="0" fontId="6" fillId="3" borderId="12" xfId="0" applyFont="1" applyFill="1" applyBorder="1" applyProtection="1"/>
    <xf numFmtId="0" fontId="6" fillId="3" borderId="14" xfId="0" applyFont="1" applyFill="1" applyBorder="1" applyAlignment="1" applyProtection="1">
      <alignment horizontal="left" vertical="center"/>
    </xf>
    <xf numFmtId="0" fontId="6" fillId="3" borderId="15" xfId="0" applyFont="1" applyFill="1" applyBorder="1" applyProtection="1"/>
    <xf numFmtId="0" fontId="6" fillId="3" borderId="16" xfId="0" applyFont="1" applyFill="1" applyBorder="1" applyProtection="1"/>
    <xf numFmtId="0" fontId="7" fillId="3" borderId="7" xfId="0" applyFont="1" applyFill="1" applyBorder="1" applyAlignment="1" applyProtection="1">
      <alignment vertical="center"/>
      <protection hidden="1"/>
    </xf>
    <xf numFmtId="2" fontId="6" fillId="3" borderId="4" xfId="0" applyNumberFormat="1" applyFont="1" applyFill="1" applyBorder="1" applyAlignment="1" applyProtection="1">
      <alignment vertical="center"/>
      <protection hidden="1"/>
    </xf>
    <xf numFmtId="14" fontId="0" fillId="0" borderId="7" xfId="0" applyNumberFormat="1" applyFill="1" applyBorder="1" applyAlignment="1" applyProtection="1">
      <alignment horizontal="left"/>
    </xf>
    <xf numFmtId="14" fontId="0" fillId="0" borderId="8" xfId="0" applyNumberFormat="1" applyFill="1" applyBorder="1" applyAlignment="1" applyProtection="1">
      <alignment horizontal="left"/>
    </xf>
    <xf numFmtId="167" fontId="7" fillId="3" borderId="17" xfId="0" applyNumberFormat="1" applyFont="1" applyFill="1" applyBorder="1" applyAlignment="1" applyProtection="1">
      <alignment horizontal="left"/>
    </xf>
    <xf numFmtId="169" fontId="0" fillId="3" borderId="18" xfId="0" applyNumberFormat="1" applyFill="1" applyBorder="1" applyAlignment="1" applyProtection="1">
      <alignment horizontal="left"/>
    </xf>
    <xf numFmtId="194" fontId="0" fillId="3" borderId="18" xfId="0" applyNumberFormat="1" applyFill="1" applyBorder="1" applyAlignment="1" applyProtection="1">
      <alignment horizontal="left"/>
    </xf>
    <xf numFmtId="195" fontId="0" fillId="3" borderId="18" xfId="0" applyNumberFormat="1" applyFill="1" applyBorder="1" applyAlignment="1" applyProtection="1">
      <alignment horizontal="left"/>
    </xf>
    <xf numFmtId="196" fontId="0" fillId="3" borderId="18" xfId="0" applyNumberFormat="1" applyFill="1" applyBorder="1" applyAlignment="1" applyProtection="1">
      <alignment horizontal="left"/>
    </xf>
    <xf numFmtId="197" fontId="0" fillId="3" borderId="18" xfId="0" applyNumberFormat="1" applyFill="1" applyBorder="1" applyAlignment="1" applyProtection="1">
      <alignment horizontal="left"/>
    </xf>
    <xf numFmtId="198" fontId="0" fillId="3" borderId="18" xfId="0" applyNumberFormat="1" applyFill="1" applyBorder="1" applyAlignment="1" applyProtection="1">
      <alignment horizontal="left"/>
    </xf>
    <xf numFmtId="199" fontId="0" fillId="3" borderId="18" xfId="0" applyNumberFormat="1" applyFill="1" applyBorder="1" applyAlignment="1" applyProtection="1">
      <alignment horizontal="left"/>
    </xf>
    <xf numFmtId="200" fontId="0" fillId="3" borderId="18" xfId="0" applyNumberFormat="1" applyFill="1" applyBorder="1" applyAlignment="1" applyProtection="1">
      <alignment horizontal="left"/>
    </xf>
    <xf numFmtId="201" fontId="0" fillId="3" borderId="18" xfId="0" applyNumberFormat="1" applyFill="1" applyBorder="1" applyAlignment="1" applyProtection="1">
      <alignment horizontal="left"/>
    </xf>
    <xf numFmtId="202" fontId="0" fillId="3" borderId="18" xfId="0" applyNumberFormat="1" applyFill="1" applyBorder="1" applyAlignment="1" applyProtection="1">
      <alignment horizontal="left"/>
    </xf>
    <xf numFmtId="203" fontId="0" fillId="3" borderId="18" xfId="0" applyNumberFormat="1" applyFill="1" applyBorder="1" applyAlignment="1" applyProtection="1">
      <alignment horizontal="left"/>
    </xf>
    <xf numFmtId="204" fontId="0" fillId="3" borderId="18" xfId="0" applyNumberFormat="1" applyFill="1" applyBorder="1" applyAlignment="1" applyProtection="1">
      <alignment horizontal="left"/>
    </xf>
    <xf numFmtId="205" fontId="0" fillId="3" borderId="18" xfId="0" applyNumberFormat="1" applyFill="1" applyBorder="1" applyAlignment="1" applyProtection="1">
      <alignment horizontal="left"/>
    </xf>
    <xf numFmtId="206" fontId="0" fillId="3" borderId="18" xfId="0" applyNumberFormat="1" applyFill="1" applyBorder="1" applyAlignment="1" applyProtection="1">
      <alignment horizontal="left"/>
    </xf>
    <xf numFmtId="207" fontId="0" fillId="3" borderId="18" xfId="0" applyNumberFormat="1" applyFill="1" applyBorder="1" applyAlignment="1" applyProtection="1">
      <alignment horizontal="left"/>
    </xf>
    <xf numFmtId="208" fontId="0" fillId="3" borderId="18" xfId="0" applyNumberFormat="1" applyFill="1" applyBorder="1" applyAlignment="1" applyProtection="1">
      <alignment horizontal="left"/>
    </xf>
    <xf numFmtId="209" fontId="0" fillId="3" borderId="18" xfId="0" applyNumberFormat="1" applyFill="1" applyBorder="1" applyAlignment="1" applyProtection="1">
      <alignment horizontal="left"/>
    </xf>
    <xf numFmtId="169" fontId="0" fillId="0" borderId="18" xfId="0" applyNumberFormat="1" applyBorder="1" applyAlignment="1" applyProtection="1">
      <alignment horizontal="left"/>
      <protection locked="0"/>
    </xf>
    <xf numFmtId="169" fontId="0" fillId="0" borderId="19" xfId="0" applyNumberFormat="1" applyBorder="1" applyAlignment="1" applyProtection="1">
      <alignment horizontal="left"/>
      <protection locked="0"/>
    </xf>
    <xf numFmtId="169" fontId="0" fillId="0" borderId="18" xfId="0" applyNumberFormat="1" applyFill="1" applyBorder="1" applyAlignment="1" applyProtection="1">
      <alignment horizontal="left"/>
    </xf>
    <xf numFmtId="169" fontId="0" fillId="0" borderId="19" xfId="0" applyNumberFormat="1" applyFill="1" applyBorder="1" applyAlignment="1" applyProtection="1">
      <alignment horizontal="left"/>
    </xf>
    <xf numFmtId="193" fontId="16" fillId="0" borderId="3" xfId="0" applyNumberFormat="1" applyFont="1" applyBorder="1" applyAlignment="1" applyProtection="1">
      <alignment horizontal="left" vertical="center"/>
    </xf>
    <xf numFmtId="0" fontId="12" fillId="4" borderId="0" xfId="0" applyFont="1" applyFill="1" applyBorder="1" applyAlignment="1">
      <alignment horizontal="center"/>
    </xf>
    <xf numFmtId="0" fontId="0" fillId="4" borderId="0" xfId="0" applyFill="1" applyBorder="1" applyAlignment="1">
      <alignment horizontal="center"/>
    </xf>
    <xf numFmtId="0" fontId="0" fillId="4" borderId="0" xfId="0" applyFill="1"/>
    <xf numFmtId="0" fontId="2" fillId="0" borderId="0" xfId="8"/>
    <xf numFmtId="0" fontId="23" fillId="0" borderId="0" xfId="8" applyFont="1" applyAlignment="1">
      <alignment wrapText="1"/>
    </xf>
    <xf numFmtId="193" fontId="16" fillId="0" borderId="1" xfId="0" applyNumberFormat="1" applyFont="1" applyBorder="1" applyAlignment="1" applyProtection="1">
      <alignment horizontal="left" vertical="center"/>
    </xf>
    <xf numFmtId="0" fontId="0" fillId="0" borderId="0" xfId="0" applyAlignment="1">
      <alignment wrapText="1"/>
    </xf>
    <xf numFmtId="0" fontId="17" fillId="0" borderId="0" xfId="0" applyFont="1" applyAlignment="1">
      <alignment horizontal="left"/>
    </xf>
    <xf numFmtId="20" fontId="0" fillId="0" borderId="0" xfId="0" applyNumberFormat="1" applyBorder="1"/>
    <xf numFmtId="21" fontId="0" fillId="0" borderId="0" xfId="0" applyNumberFormat="1" applyBorder="1" applyAlignment="1">
      <alignment horizontal="left"/>
    </xf>
    <xf numFmtId="0" fontId="0" fillId="0" borderId="0" xfId="0"/>
    <xf numFmtId="0" fontId="0" fillId="0" borderId="0" xfId="0" applyAlignment="1">
      <alignment horizontal="center"/>
    </xf>
    <xf numFmtId="0" fontId="0" fillId="0" borderId="0" xfId="0" applyBorder="1"/>
    <xf numFmtId="0" fontId="10" fillId="0" borderId="0" xfId="0" applyFont="1" applyFill="1" applyAlignment="1">
      <alignment horizontal="right" vertical="center"/>
    </xf>
    <xf numFmtId="0" fontId="20" fillId="0" borderId="0" xfId="0" applyFont="1" applyFill="1" applyAlignment="1">
      <alignment vertical="center"/>
    </xf>
    <xf numFmtId="0" fontId="18" fillId="0" borderId="0" xfId="0" applyFont="1" applyFill="1" applyAlignment="1">
      <alignment vertical="center"/>
    </xf>
    <xf numFmtId="0" fontId="21" fillId="0" borderId="0" xfId="0" applyFont="1" applyFill="1" applyAlignment="1">
      <alignment vertical="center"/>
    </xf>
    <xf numFmtId="0" fontId="22" fillId="0" borderId="0" xfId="0" applyFont="1" applyFill="1" applyAlignment="1" applyProtection="1">
      <alignment horizontal="left" vertical="center"/>
      <protection locked="0"/>
    </xf>
    <xf numFmtId="0" fontId="27" fillId="0" borderId="0" xfId="0" applyFont="1" applyFill="1"/>
    <xf numFmtId="0" fontId="7" fillId="0" borderId="0" xfId="0" applyFont="1" applyFill="1"/>
    <xf numFmtId="0" fontId="8" fillId="0" borderId="0" xfId="0" applyFont="1" applyFill="1"/>
    <xf numFmtId="193" fontId="31" fillId="0" borderId="3" xfId="0" applyNumberFormat="1" applyFont="1" applyFill="1" applyBorder="1" applyAlignment="1" applyProtection="1">
      <alignment horizontal="left" vertical="center"/>
    </xf>
    <xf numFmtId="193" fontId="31" fillId="0" borderId="1" xfId="0" applyNumberFormat="1" applyFont="1" applyFill="1" applyBorder="1" applyAlignment="1" applyProtection="1">
      <alignment horizontal="left" vertical="center"/>
    </xf>
    <xf numFmtId="0" fontId="31" fillId="0" borderId="1" xfId="0" applyFont="1" applyFill="1" applyBorder="1" applyAlignment="1" applyProtection="1">
      <alignment vertical="center"/>
      <protection locked="0"/>
    </xf>
    <xf numFmtId="0" fontId="31" fillId="0" borderId="1" xfId="0" applyFont="1" applyFill="1" applyBorder="1" applyAlignment="1" applyProtection="1">
      <alignment horizontal="center" vertical="center"/>
      <protection locked="0"/>
    </xf>
    <xf numFmtId="166" fontId="31" fillId="0" borderId="1" xfId="0" applyNumberFormat="1" applyFont="1" applyFill="1" applyBorder="1" applyAlignment="1" applyProtection="1">
      <alignment horizontal="center" vertical="center"/>
      <protection locked="0"/>
    </xf>
    <xf numFmtId="169" fontId="31" fillId="0" borderId="1" xfId="0" applyNumberFormat="1" applyFont="1" applyFill="1" applyBorder="1" applyAlignment="1" applyProtection="1">
      <alignment horizontal="center" vertical="center"/>
      <protection locked="0"/>
    </xf>
    <xf numFmtId="166" fontId="31" fillId="0" borderId="1" xfId="0" applyNumberFormat="1" applyFont="1" applyFill="1" applyBorder="1" applyAlignment="1">
      <alignment horizontal="center" vertical="center"/>
    </xf>
    <xf numFmtId="9" fontId="31" fillId="0" borderId="1" xfId="1" applyFont="1" applyFill="1" applyBorder="1" applyAlignment="1" applyProtection="1">
      <alignment horizontal="right" vertical="center"/>
      <protection locked="0"/>
    </xf>
    <xf numFmtId="0" fontId="31" fillId="0" borderId="1" xfId="1" applyNumberFormat="1" applyFont="1" applyFill="1" applyBorder="1" applyAlignment="1" applyProtection="1">
      <alignment horizontal="right" vertical="center"/>
      <protection hidden="1"/>
    </xf>
    <xf numFmtId="0" fontId="32" fillId="0" borderId="2" xfId="0" applyFont="1" applyFill="1" applyBorder="1" applyAlignment="1">
      <alignment vertical="center"/>
    </xf>
    <xf numFmtId="166" fontId="32" fillId="0" borderId="2" xfId="0" applyNumberFormat="1" applyFont="1" applyFill="1" applyBorder="1" applyAlignment="1">
      <alignment vertical="center"/>
    </xf>
    <xf numFmtId="170" fontId="6" fillId="3" borderId="28" xfId="0" applyNumberFormat="1" applyFont="1" applyFill="1" applyBorder="1" applyAlignment="1" applyProtection="1">
      <alignment horizontal="left" vertical="center"/>
    </xf>
    <xf numFmtId="171" fontId="6" fillId="3" borderId="28" xfId="0" applyNumberFormat="1" applyFont="1" applyFill="1" applyBorder="1" applyAlignment="1" applyProtection="1">
      <alignment horizontal="left" vertical="center"/>
    </xf>
    <xf numFmtId="172" fontId="6" fillId="3" borderId="28" xfId="0" applyNumberFormat="1" applyFont="1" applyFill="1" applyBorder="1" applyAlignment="1" applyProtection="1">
      <alignment horizontal="left" vertical="center"/>
    </xf>
    <xf numFmtId="166" fontId="0" fillId="0" borderId="28" xfId="0" applyNumberFormat="1" applyBorder="1" applyAlignment="1" applyProtection="1">
      <alignment horizontal="left"/>
      <protection locked="0"/>
    </xf>
    <xf numFmtId="173" fontId="6" fillId="3" borderId="28" xfId="0" applyNumberFormat="1" applyFont="1" applyFill="1" applyBorder="1" applyAlignment="1" applyProtection="1">
      <alignment horizontal="left" vertical="center"/>
    </xf>
    <xf numFmtId="174" fontId="6" fillId="3" borderId="28" xfId="0" applyNumberFormat="1" applyFont="1" applyFill="1" applyBorder="1" applyAlignment="1" applyProtection="1">
      <alignment horizontal="left" vertical="center"/>
    </xf>
    <xf numFmtId="175" fontId="6" fillId="3" borderId="28" xfId="0" applyNumberFormat="1" applyFont="1" applyFill="1" applyBorder="1" applyAlignment="1" applyProtection="1">
      <alignment horizontal="left" vertical="center"/>
    </xf>
    <xf numFmtId="176" fontId="6" fillId="3" borderId="28" xfId="0" applyNumberFormat="1" applyFont="1" applyFill="1" applyBorder="1" applyAlignment="1" applyProtection="1">
      <alignment horizontal="left" vertical="center"/>
    </xf>
    <xf numFmtId="177" fontId="6" fillId="3" borderId="28" xfId="0" applyNumberFormat="1" applyFont="1" applyFill="1" applyBorder="1" applyAlignment="1" applyProtection="1">
      <alignment horizontal="left" vertical="center"/>
    </xf>
    <xf numFmtId="178" fontId="6" fillId="3" borderId="28" xfId="0" applyNumberFormat="1" applyFont="1" applyFill="1" applyBorder="1" applyAlignment="1" applyProtection="1">
      <alignment horizontal="left" vertical="center"/>
    </xf>
    <xf numFmtId="179" fontId="6" fillId="3" borderId="28" xfId="0" applyNumberFormat="1" applyFont="1" applyFill="1" applyBorder="1" applyAlignment="1" applyProtection="1">
      <alignment horizontal="left" vertical="center"/>
    </xf>
    <xf numFmtId="180" fontId="6" fillId="3" borderId="28" xfId="0" applyNumberFormat="1" applyFont="1" applyFill="1" applyBorder="1" applyAlignment="1" applyProtection="1">
      <alignment horizontal="left" vertical="center"/>
    </xf>
    <xf numFmtId="181" fontId="6" fillId="3" borderId="28" xfId="0" applyNumberFormat="1" applyFont="1" applyFill="1" applyBorder="1" applyAlignment="1" applyProtection="1">
      <alignment horizontal="left" vertical="center"/>
    </xf>
    <xf numFmtId="182" fontId="6" fillId="3" borderId="28" xfId="0" applyNumberFormat="1" applyFont="1" applyFill="1" applyBorder="1" applyAlignment="1" applyProtection="1">
      <alignment horizontal="left" vertical="center"/>
    </xf>
    <xf numFmtId="183" fontId="6" fillId="3" borderId="28" xfId="0" applyNumberFormat="1" applyFont="1" applyFill="1" applyBorder="1" applyAlignment="1" applyProtection="1">
      <alignment horizontal="left" vertical="center"/>
    </xf>
    <xf numFmtId="184" fontId="6" fillId="3" borderId="28" xfId="0" applyNumberFormat="1" applyFont="1" applyFill="1" applyBorder="1" applyAlignment="1" applyProtection="1">
      <alignment horizontal="left" vertical="center"/>
    </xf>
    <xf numFmtId="185" fontId="6" fillId="3" borderId="28" xfId="0" applyNumberFormat="1" applyFont="1" applyFill="1" applyBorder="1" applyAlignment="1" applyProtection="1">
      <alignment horizontal="left" vertical="center"/>
    </xf>
    <xf numFmtId="186" fontId="6" fillId="3" borderId="28" xfId="0" applyNumberFormat="1" applyFont="1" applyFill="1" applyBorder="1" applyAlignment="1" applyProtection="1">
      <alignment horizontal="left" vertical="center"/>
    </xf>
    <xf numFmtId="187" fontId="6" fillId="3" borderId="28" xfId="0" applyNumberFormat="1" applyFont="1" applyFill="1" applyBorder="1" applyAlignment="1" applyProtection="1">
      <alignment horizontal="left" vertical="center"/>
    </xf>
    <xf numFmtId="188" fontId="6" fillId="3" borderId="28" xfId="0" applyNumberFormat="1" applyFont="1" applyFill="1" applyBorder="1" applyAlignment="1" applyProtection="1">
      <alignment horizontal="left" vertical="center"/>
    </xf>
    <xf numFmtId="189" fontId="6" fillId="3" borderId="28" xfId="0" applyNumberFormat="1" applyFont="1" applyFill="1" applyBorder="1" applyAlignment="1" applyProtection="1">
      <alignment horizontal="left" vertical="center"/>
    </xf>
    <xf numFmtId="190" fontId="6" fillId="3" borderId="28" xfId="0" applyNumberFormat="1" applyFont="1" applyFill="1" applyBorder="1" applyAlignment="1" applyProtection="1">
      <alignment horizontal="left" vertical="center"/>
    </xf>
    <xf numFmtId="191" fontId="6" fillId="3" borderId="28" xfId="0" applyNumberFormat="1" applyFont="1" applyFill="1" applyBorder="1" applyAlignment="1" applyProtection="1">
      <alignment horizontal="left" vertical="center"/>
    </xf>
    <xf numFmtId="192" fontId="6" fillId="3" borderId="28" xfId="0" applyNumberFormat="1" applyFont="1" applyFill="1" applyBorder="1" applyAlignment="1" applyProtection="1">
      <alignment horizontal="left" vertical="center"/>
    </xf>
    <xf numFmtId="210" fontId="6" fillId="3" borderId="28" xfId="0" applyNumberFormat="1" applyFont="1" applyFill="1" applyBorder="1" applyAlignment="1" applyProtection="1">
      <alignment horizontal="left" vertical="center"/>
    </xf>
    <xf numFmtId="0" fontId="0" fillId="0" borderId="28" xfId="0" applyBorder="1"/>
    <xf numFmtId="211" fontId="6" fillId="3" borderId="28" xfId="0" applyNumberFormat="1" applyFont="1" applyFill="1" applyBorder="1" applyAlignment="1" applyProtection="1">
      <alignment horizontal="left" vertical="center"/>
    </xf>
    <xf numFmtId="212" fontId="6" fillId="3" borderId="28" xfId="0" applyNumberFormat="1" applyFont="1" applyFill="1" applyBorder="1" applyAlignment="1" applyProtection="1">
      <alignment horizontal="left" vertical="center"/>
    </xf>
    <xf numFmtId="213" fontId="6" fillId="3" borderId="28" xfId="0" applyNumberFormat="1" applyFont="1" applyFill="1" applyBorder="1" applyAlignment="1" applyProtection="1">
      <alignment horizontal="left" vertical="center"/>
    </xf>
    <xf numFmtId="214" fontId="6" fillId="3" borderId="28" xfId="0" applyNumberFormat="1" applyFont="1" applyFill="1" applyBorder="1" applyAlignment="1" applyProtection="1">
      <alignment horizontal="left" vertical="center"/>
    </xf>
    <xf numFmtId="215" fontId="6" fillId="3" borderId="28" xfId="0" applyNumberFormat="1" applyFont="1" applyFill="1" applyBorder="1" applyAlignment="1" applyProtection="1">
      <alignment horizontal="left" vertical="center"/>
    </xf>
    <xf numFmtId="216" fontId="6" fillId="3" borderId="28" xfId="0" applyNumberFormat="1" applyFont="1" applyFill="1" applyBorder="1" applyAlignment="1" applyProtection="1">
      <alignment horizontal="left" vertical="center"/>
    </xf>
    <xf numFmtId="217" fontId="6" fillId="3" borderId="28" xfId="0" applyNumberFormat="1" applyFont="1" applyFill="1" applyBorder="1" applyAlignment="1" applyProtection="1">
      <alignment horizontal="left" vertical="center"/>
    </xf>
    <xf numFmtId="218" fontId="6" fillId="3" borderId="28" xfId="0" applyNumberFormat="1" applyFont="1" applyFill="1" applyBorder="1" applyAlignment="1" applyProtection="1">
      <alignment horizontal="left" vertical="center"/>
    </xf>
    <xf numFmtId="219" fontId="6" fillId="3" borderId="28" xfId="0" applyNumberFormat="1" applyFont="1" applyFill="1" applyBorder="1" applyAlignment="1" applyProtection="1">
      <alignment horizontal="left" vertical="center"/>
    </xf>
    <xf numFmtId="220" fontId="6" fillId="3" borderId="28" xfId="0" applyNumberFormat="1" applyFont="1" applyFill="1" applyBorder="1" applyAlignment="1" applyProtection="1">
      <alignment horizontal="left" vertical="center"/>
    </xf>
    <xf numFmtId="221" fontId="6" fillId="3" borderId="28" xfId="0" applyNumberFormat="1" applyFont="1" applyFill="1" applyBorder="1" applyAlignment="1" applyProtection="1">
      <alignment horizontal="left" vertical="center"/>
    </xf>
    <xf numFmtId="222" fontId="6" fillId="3" borderId="28" xfId="0" applyNumberFormat="1" applyFont="1" applyFill="1" applyBorder="1" applyAlignment="1" applyProtection="1">
      <alignment horizontal="left" vertical="center"/>
    </xf>
    <xf numFmtId="223" fontId="6" fillId="3" borderId="28" xfId="0" applyNumberFormat="1" applyFont="1" applyFill="1" applyBorder="1" applyAlignment="1" applyProtection="1">
      <alignment horizontal="left" vertical="center"/>
    </xf>
    <xf numFmtId="224" fontId="6" fillId="3" borderId="28" xfId="0" applyNumberFormat="1" applyFont="1" applyFill="1" applyBorder="1" applyAlignment="1" applyProtection="1">
      <alignment horizontal="left" vertical="center"/>
    </xf>
    <xf numFmtId="225" fontId="6" fillId="3" borderId="28" xfId="0" applyNumberFormat="1" applyFont="1" applyFill="1" applyBorder="1" applyAlignment="1" applyProtection="1">
      <alignment horizontal="left" vertical="center"/>
    </xf>
    <xf numFmtId="226" fontId="6" fillId="3" borderId="28" xfId="0" applyNumberFormat="1" applyFont="1" applyFill="1" applyBorder="1" applyAlignment="1" applyProtection="1">
      <alignment horizontal="left" vertical="center"/>
    </xf>
    <xf numFmtId="227" fontId="6" fillId="3" borderId="28" xfId="0" applyNumberFormat="1" applyFont="1" applyFill="1" applyBorder="1" applyAlignment="1" applyProtection="1">
      <alignment horizontal="left" vertical="center"/>
    </xf>
    <xf numFmtId="228" fontId="6" fillId="3" borderId="28" xfId="0" applyNumberFormat="1" applyFont="1" applyFill="1" applyBorder="1" applyAlignment="1" applyProtection="1">
      <alignment horizontal="left" vertical="center"/>
    </xf>
    <xf numFmtId="229" fontId="6" fillId="3" borderId="28" xfId="0" applyNumberFormat="1" applyFont="1" applyFill="1" applyBorder="1" applyAlignment="1" applyProtection="1">
      <alignment horizontal="left" vertical="center"/>
    </xf>
    <xf numFmtId="230" fontId="6" fillId="3" borderId="28" xfId="0" applyNumberFormat="1" applyFont="1" applyFill="1" applyBorder="1" applyAlignment="1" applyProtection="1">
      <alignment horizontal="left" vertical="center"/>
    </xf>
    <xf numFmtId="231" fontId="6" fillId="3" borderId="28" xfId="0" applyNumberFormat="1" applyFont="1" applyFill="1" applyBorder="1" applyAlignment="1" applyProtection="1">
      <alignment horizontal="left" vertical="center"/>
    </xf>
    <xf numFmtId="232" fontId="6" fillId="3" borderId="28" xfId="0" applyNumberFormat="1" applyFont="1" applyFill="1" applyBorder="1" applyAlignment="1" applyProtection="1">
      <alignment horizontal="left" vertical="center"/>
    </xf>
    <xf numFmtId="233" fontId="6" fillId="3" borderId="28" xfId="0" applyNumberFormat="1" applyFont="1" applyFill="1" applyBorder="1" applyAlignment="1" applyProtection="1">
      <alignment horizontal="left" vertical="center"/>
    </xf>
    <xf numFmtId="234" fontId="6" fillId="3" borderId="28" xfId="0" applyNumberFormat="1" applyFont="1" applyFill="1" applyBorder="1" applyAlignment="1" applyProtection="1">
      <alignment horizontal="left" vertical="center"/>
    </xf>
    <xf numFmtId="235" fontId="6" fillId="3" borderId="28" xfId="0" applyNumberFormat="1" applyFont="1" applyFill="1" applyBorder="1" applyAlignment="1" applyProtection="1">
      <alignment horizontal="left" vertical="center"/>
    </xf>
    <xf numFmtId="236" fontId="6" fillId="3" borderId="28" xfId="0" applyNumberFormat="1" applyFont="1" applyFill="1" applyBorder="1" applyAlignment="1" applyProtection="1">
      <alignment horizontal="left" vertical="center"/>
    </xf>
    <xf numFmtId="237" fontId="6" fillId="3" borderId="28" xfId="0" applyNumberFormat="1" applyFont="1" applyFill="1" applyBorder="1" applyAlignment="1" applyProtection="1">
      <alignment horizontal="left" vertical="center"/>
    </xf>
    <xf numFmtId="238" fontId="6" fillId="3" borderId="28" xfId="0" applyNumberFormat="1" applyFont="1" applyFill="1" applyBorder="1" applyAlignment="1" applyProtection="1">
      <alignment horizontal="left" vertical="center"/>
    </xf>
    <xf numFmtId="239" fontId="6" fillId="3" borderId="28" xfId="0" applyNumberFormat="1" applyFont="1" applyFill="1" applyBorder="1" applyAlignment="1" applyProtection="1">
      <alignment horizontal="left" vertical="center"/>
    </xf>
    <xf numFmtId="240" fontId="6" fillId="3" borderId="28" xfId="0" applyNumberFormat="1" applyFont="1" applyFill="1" applyBorder="1" applyAlignment="1" applyProtection="1">
      <alignment horizontal="left" vertical="center"/>
    </xf>
    <xf numFmtId="241" fontId="6" fillId="3" borderId="28" xfId="0" applyNumberFormat="1" applyFont="1" applyFill="1" applyBorder="1" applyAlignment="1" applyProtection="1">
      <alignment horizontal="left" vertical="center"/>
    </xf>
    <xf numFmtId="242" fontId="6" fillId="3" borderId="28" xfId="0" applyNumberFormat="1" applyFont="1" applyFill="1" applyBorder="1" applyAlignment="1" applyProtection="1">
      <alignment horizontal="left" vertical="center"/>
    </xf>
    <xf numFmtId="243" fontId="6" fillId="3" borderId="28" xfId="0" applyNumberFormat="1" applyFont="1" applyFill="1" applyBorder="1" applyAlignment="1" applyProtection="1">
      <alignment horizontal="left" vertical="center"/>
    </xf>
    <xf numFmtId="244" fontId="6" fillId="3" borderId="28" xfId="0" applyNumberFormat="1" applyFont="1" applyFill="1" applyBorder="1" applyAlignment="1" applyProtection="1">
      <alignment horizontal="left" vertical="center"/>
    </xf>
    <xf numFmtId="245" fontId="6" fillId="3" borderId="28" xfId="0" applyNumberFormat="1" applyFont="1" applyFill="1" applyBorder="1" applyAlignment="1" applyProtection="1">
      <alignment horizontal="left" vertical="center"/>
    </xf>
    <xf numFmtId="246" fontId="6" fillId="3" borderId="28" xfId="0" applyNumberFormat="1" applyFont="1" applyFill="1" applyBorder="1" applyAlignment="1" applyProtection="1">
      <alignment horizontal="left" vertical="center"/>
    </xf>
    <xf numFmtId="247" fontId="6" fillId="3" borderId="28" xfId="0" applyNumberFormat="1" applyFont="1" applyFill="1" applyBorder="1" applyAlignment="1" applyProtection="1">
      <alignment horizontal="left" vertical="center"/>
    </xf>
    <xf numFmtId="248" fontId="6" fillId="3" borderId="28" xfId="0" applyNumberFormat="1" applyFont="1" applyFill="1" applyBorder="1" applyAlignment="1" applyProtection="1">
      <alignment horizontal="left" vertical="center"/>
    </xf>
    <xf numFmtId="249" fontId="6" fillId="3" borderId="28" xfId="0" applyNumberFormat="1" applyFont="1" applyFill="1" applyBorder="1" applyAlignment="1" applyProtection="1">
      <alignment horizontal="left" vertical="center"/>
    </xf>
    <xf numFmtId="250" fontId="6" fillId="3" borderId="28" xfId="0" applyNumberFormat="1" applyFont="1" applyFill="1" applyBorder="1" applyAlignment="1" applyProtection="1">
      <alignment horizontal="left" vertical="center"/>
    </xf>
    <xf numFmtId="251" fontId="6" fillId="3" borderId="28" xfId="0" applyNumberFormat="1" applyFont="1" applyFill="1" applyBorder="1" applyAlignment="1" applyProtection="1">
      <alignment horizontal="left" vertical="center"/>
    </xf>
    <xf numFmtId="252" fontId="6" fillId="3" borderId="28" xfId="0" applyNumberFormat="1" applyFont="1" applyFill="1" applyBorder="1" applyAlignment="1" applyProtection="1">
      <alignment horizontal="left" vertical="center"/>
    </xf>
    <xf numFmtId="253" fontId="6" fillId="3" borderId="28" xfId="0" applyNumberFormat="1" applyFont="1" applyFill="1" applyBorder="1" applyAlignment="1" applyProtection="1">
      <alignment horizontal="left" vertical="center"/>
    </xf>
    <xf numFmtId="254" fontId="6" fillId="3" borderId="28" xfId="0" applyNumberFormat="1" applyFont="1" applyFill="1" applyBorder="1" applyAlignment="1" applyProtection="1">
      <alignment horizontal="left" vertical="center"/>
    </xf>
    <xf numFmtId="255" fontId="6" fillId="3" borderId="28" xfId="0" applyNumberFormat="1" applyFont="1" applyFill="1" applyBorder="1" applyAlignment="1" applyProtection="1">
      <alignment horizontal="left" vertical="center"/>
    </xf>
    <xf numFmtId="256" fontId="6" fillId="3" borderId="28" xfId="0" applyNumberFormat="1" applyFont="1" applyFill="1" applyBorder="1" applyAlignment="1" applyProtection="1">
      <alignment horizontal="left" vertical="center"/>
    </xf>
    <xf numFmtId="257" fontId="6" fillId="3" borderId="28" xfId="0" applyNumberFormat="1" applyFont="1" applyFill="1" applyBorder="1" applyAlignment="1" applyProtection="1">
      <alignment horizontal="left" vertical="center"/>
    </xf>
    <xf numFmtId="258" fontId="6" fillId="3" borderId="28" xfId="0" applyNumberFormat="1" applyFont="1" applyFill="1" applyBorder="1" applyAlignment="1" applyProtection="1">
      <alignment horizontal="left" vertical="center"/>
    </xf>
    <xf numFmtId="259" fontId="6" fillId="3" borderId="28" xfId="0" applyNumberFormat="1" applyFont="1" applyFill="1" applyBorder="1" applyAlignment="1" applyProtection="1">
      <alignment horizontal="left" vertical="center"/>
    </xf>
    <xf numFmtId="260" fontId="6" fillId="3" borderId="28" xfId="0" applyNumberFormat="1" applyFont="1" applyFill="1" applyBorder="1" applyAlignment="1" applyProtection="1">
      <alignment horizontal="left" vertical="center"/>
    </xf>
    <xf numFmtId="261" fontId="6" fillId="3" borderId="28" xfId="0" applyNumberFormat="1" applyFont="1" applyFill="1" applyBorder="1" applyAlignment="1" applyProtection="1">
      <alignment horizontal="left" vertical="center"/>
    </xf>
    <xf numFmtId="262" fontId="6" fillId="3" borderId="28" xfId="0" applyNumberFormat="1" applyFont="1" applyFill="1" applyBorder="1" applyAlignment="1" applyProtection="1">
      <alignment horizontal="left" vertical="center"/>
    </xf>
    <xf numFmtId="263" fontId="6" fillId="3" borderId="28" xfId="0" applyNumberFormat="1" applyFont="1" applyFill="1" applyBorder="1" applyAlignment="1" applyProtection="1">
      <alignment horizontal="left" vertical="center"/>
    </xf>
    <xf numFmtId="264" fontId="6" fillId="3" borderId="28" xfId="0" applyNumberFormat="1" applyFont="1" applyFill="1" applyBorder="1" applyAlignment="1" applyProtection="1">
      <alignment horizontal="left" vertical="center"/>
    </xf>
    <xf numFmtId="265" fontId="6" fillId="3" borderId="28" xfId="0" applyNumberFormat="1" applyFont="1" applyFill="1" applyBorder="1" applyAlignment="1" applyProtection="1">
      <alignment horizontal="left" vertical="center"/>
    </xf>
    <xf numFmtId="266" fontId="6" fillId="3" borderId="28" xfId="0" applyNumberFormat="1" applyFont="1" applyFill="1" applyBorder="1" applyAlignment="1" applyProtection="1">
      <alignment horizontal="left" vertical="center"/>
    </xf>
    <xf numFmtId="267" fontId="6" fillId="3" borderId="28" xfId="0" applyNumberFormat="1" applyFont="1" applyFill="1" applyBorder="1" applyAlignment="1" applyProtection="1">
      <alignment horizontal="left" vertical="center"/>
    </xf>
    <xf numFmtId="268" fontId="6" fillId="3" borderId="28" xfId="0" applyNumberFormat="1" applyFont="1" applyFill="1" applyBorder="1" applyAlignment="1" applyProtection="1">
      <alignment horizontal="left" vertical="center"/>
    </xf>
    <xf numFmtId="269" fontId="6" fillId="3" borderId="28" xfId="0" applyNumberFormat="1" applyFont="1" applyFill="1" applyBorder="1" applyAlignment="1" applyProtection="1">
      <alignment horizontal="left" vertical="center"/>
    </xf>
    <xf numFmtId="270" fontId="6" fillId="3" borderId="28" xfId="0" applyNumberFormat="1" applyFont="1" applyFill="1" applyBorder="1" applyAlignment="1" applyProtection="1">
      <alignment horizontal="left" vertical="center"/>
    </xf>
    <xf numFmtId="271" fontId="6" fillId="3" borderId="28" xfId="0" applyNumberFormat="1" applyFont="1" applyFill="1" applyBorder="1" applyAlignment="1" applyProtection="1">
      <alignment horizontal="left" vertical="center"/>
    </xf>
    <xf numFmtId="272" fontId="6" fillId="3" borderId="28" xfId="0" applyNumberFormat="1" applyFont="1" applyFill="1" applyBorder="1" applyAlignment="1" applyProtection="1">
      <alignment horizontal="left" vertical="center"/>
    </xf>
    <xf numFmtId="273" fontId="6" fillId="3" borderId="28" xfId="0" applyNumberFormat="1" applyFont="1" applyFill="1" applyBorder="1" applyAlignment="1" applyProtection="1">
      <alignment horizontal="left" vertical="center"/>
    </xf>
    <xf numFmtId="274" fontId="6" fillId="3" borderId="28" xfId="0" applyNumberFormat="1" applyFont="1" applyFill="1" applyBorder="1" applyAlignment="1" applyProtection="1">
      <alignment horizontal="left" vertical="center"/>
    </xf>
    <xf numFmtId="275" fontId="6" fillId="3" borderId="28" xfId="0" applyNumberFormat="1" applyFont="1" applyFill="1" applyBorder="1" applyAlignment="1" applyProtection="1">
      <alignment horizontal="left" vertical="center"/>
    </xf>
    <xf numFmtId="276" fontId="6" fillId="3" borderId="28" xfId="0" applyNumberFormat="1" applyFont="1" applyFill="1" applyBorder="1" applyAlignment="1" applyProtection="1">
      <alignment horizontal="left" vertical="center"/>
    </xf>
    <xf numFmtId="277" fontId="6" fillId="3" borderId="28" xfId="0" applyNumberFormat="1" applyFont="1" applyFill="1" applyBorder="1" applyAlignment="1" applyProtection="1">
      <alignment horizontal="left" vertical="center"/>
    </xf>
    <xf numFmtId="278" fontId="6" fillId="3" borderId="28" xfId="0" applyNumberFormat="1" applyFont="1" applyFill="1" applyBorder="1" applyAlignment="1" applyProtection="1">
      <alignment horizontal="left" vertical="center"/>
    </xf>
    <xf numFmtId="279" fontId="6" fillId="3" borderId="28" xfId="0" applyNumberFormat="1" applyFont="1" applyFill="1" applyBorder="1" applyAlignment="1" applyProtection="1">
      <alignment horizontal="left" vertical="center"/>
    </xf>
    <xf numFmtId="280" fontId="6" fillId="3" borderId="28" xfId="0" applyNumberFormat="1" applyFont="1" applyFill="1" applyBorder="1" applyAlignment="1" applyProtection="1">
      <alignment horizontal="left" vertical="center"/>
    </xf>
    <xf numFmtId="281" fontId="6" fillId="3" borderId="28" xfId="0" applyNumberFormat="1" applyFont="1" applyFill="1" applyBorder="1" applyAlignment="1" applyProtection="1">
      <alignment horizontal="left" vertical="center"/>
    </xf>
    <xf numFmtId="282" fontId="6" fillId="3" borderId="28" xfId="0" applyNumberFormat="1" applyFont="1" applyFill="1" applyBorder="1" applyAlignment="1" applyProtection="1">
      <alignment horizontal="left" vertical="center"/>
    </xf>
    <xf numFmtId="283" fontId="6" fillId="3" borderId="28" xfId="0" applyNumberFormat="1" applyFont="1" applyFill="1" applyBorder="1" applyAlignment="1" applyProtection="1">
      <alignment horizontal="left" vertical="center"/>
    </xf>
    <xf numFmtId="284" fontId="6" fillId="3" borderId="28" xfId="0" applyNumberFormat="1" applyFont="1" applyFill="1" applyBorder="1" applyAlignment="1" applyProtection="1">
      <alignment horizontal="left" vertical="center"/>
    </xf>
    <xf numFmtId="285" fontId="6" fillId="3" borderId="28" xfId="0" applyNumberFormat="1" applyFont="1" applyFill="1" applyBorder="1" applyAlignment="1" applyProtection="1">
      <alignment horizontal="left" vertical="center"/>
    </xf>
    <xf numFmtId="286" fontId="6" fillId="3" borderId="28" xfId="0" applyNumberFormat="1" applyFont="1" applyFill="1" applyBorder="1" applyAlignment="1" applyProtection="1">
      <alignment horizontal="left" vertical="center"/>
    </xf>
    <xf numFmtId="287" fontId="6" fillId="3" borderId="28" xfId="0" applyNumberFormat="1" applyFont="1" applyFill="1" applyBorder="1" applyAlignment="1" applyProtection="1">
      <alignment horizontal="left" vertical="center"/>
    </xf>
    <xf numFmtId="288" fontId="6" fillId="3" borderId="28" xfId="0" applyNumberFormat="1" applyFont="1" applyFill="1" applyBorder="1" applyAlignment="1" applyProtection="1">
      <alignment horizontal="left" vertical="center"/>
    </xf>
    <xf numFmtId="289" fontId="6" fillId="3" borderId="28" xfId="0" applyNumberFormat="1" applyFont="1" applyFill="1" applyBorder="1" applyAlignment="1" applyProtection="1">
      <alignment horizontal="left" vertical="center"/>
    </xf>
    <xf numFmtId="290" fontId="6" fillId="3" borderId="28" xfId="0" applyNumberFormat="1" applyFont="1" applyFill="1" applyBorder="1" applyAlignment="1" applyProtection="1">
      <alignment horizontal="left" vertical="center"/>
    </xf>
    <xf numFmtId="291" fontId="6" fillId="3" borderId="28" xfId="0" applyNumberFormat="1" applyFont="1" applyFill="1" applyBorder="1" applyAlignment="1" applyProtection="1">
      <alignment horizontal="left" vertical="center"/>
    </xf>
    <xf numFmtId="292" fontId="6" fillId="3" borderId="28" xfId="0" applyNumberFormat="1" applyFont="1" applyFill="1" applyBorder="1" applyAlignment="1" applyProtection="1">
      <alignment horizontal="left" vertical="center"/>
    </xf>
    <xf numFmtId="293" fontId="6" fillId="3" borderId="28" xfId="0" applyNumberFormat="1" applyFont="1" applyFill="1" applyBorder="1" applyAlignment="1" applyProtection="1">
      <alignment horizontal="left" vertical="center"/>
    </xf>
    <xf numFmtId="294" fontId="6" fillId="3" borderId="28" xfId="0" applyNumberFormat="1" applyFont="1" applyFill="1" applyBorder="1" applyAlignment="1" applyProtection="1">
      <alignment horizontal="left" vertical="center"/>
    </xf>
    <xf numFmtId="295" fontId="6" fillId="3" borderId="28" xfId="0" applyNumberFormat="1" applyFont="1" applyFill="1" applyBorder="1" applyAlignment="1" applyProtection="1">
      <alignment horizontal="left" vertical="center"/>
    </xf>
    <xf numFmtId="296" fontId="6" fillId="3" borderId="28" xfId="0" applyNumberFormat="1" applyFont="1" applyFill="1" applyBorder="1" applyAlignment="1" applyProtection="1">
      <alignment horizontal="left" vertical="center"/>
    </xf>
    <xf numFmtId="297" fontId="6" fillId="3" borderId="28" xfId="0" applyNumberFormat="1" applyFont="1" applyFill="1" applyBorder="1" applyAlignment="1" applyProtection="1">
      <alignment horizontal="left" vertical="center"/>
    </xf>
    <xf numFmtId="14" fontId="0" fillId="0" borderId="0" xfId="0" applyNumberFormat="1" applyAlignment="1">
      <alignment horizontal="left" vertical="center"/>
    </xf>
    <xf numFmtId="0" fontId="0" fillId="0" borderId="0" xfId="0" applyNumberFormat="1" applyBorder="1" applyAlignment="1">
      <alignment horizontal="center" vertical="center"/>
    </xf>
    <xf numFmtId="0" fontId="7" fillId="0" borderId="30" xfId="0" applyFont="1" applyFill="1" applyBorder="1"/>
    <xf numFmtId="0" fontId="7" fillId="0" borderId="31" xfId="0" applyFont="1" applyFill="1" applyBorder="1"/>
    <xf numFmtId="0" fontId="0" fillId="0" borderId="0" xfId="0" applyBorder="1" applyAlignment="1" applyProtection="1">
      <alignment wrapText="1"/>
      <protection locked="0"/>
    </xf>
    <xf numFmtId="0" fontId="0" fillId="0" borderId="0" xfId="0" applyFill="1" applyBorder="1" applyProtection="1">
      <protection locked="0"/>
    </xf>
    <xf numFmtId="0" fontId="0" fillId="2" borderId="0" xfId="0" applyFill="1" applyBorder="1" applyProtection="1">
      <protection locked="0"/>
    </xf>
    <xf numFmtId="0" fontId="7" fillId="0" borderId="30" xfId="0" applyFont="1" applyFill="1" applyBorder="1" applyAlignment="1">
      <alignment horizontal="center"/>
    </xf>
    <xf numFmtId="0" fontId="0" fillId="0" borderId="32" xfId="0" applyBorder="1" applyProtection="1">
      <protection locked="0"/>
    </xf>
    <xf numFmtId="0" fontId="0" fillId="2" borderId="32" xfId="0" applyFill="1" applyBorder="1" applyProtection="1">
      <protection locked="0"/>
    </xf>
    <xf numFmtId="0" fontId="0" fillId="0" borderId="33" xfId="0" applyBorder="1" applyProtection="1">
      <protection locked="0"/>
    </xf>
    <xf numFmtId="0" fontId="0" fillId="0" borderId="30" xfId="0" applyBorder="1" applyAlignment="1">
      <alignment horizontal="right"/>
    </xf>
    <xf numFmtId="0" fontId="0" fillId="0" borderId="31" xfId="0" applyBorder="1" applyAlignment="1">
      <alignment horizontal="right"/>
    </xf>
    <xf numFmtId="0" fontId="13" fillId="0" borderId="0" xfId="0" applyFont="1" applyFill="1" applyBorder="1" applyAlignment="1">
      <alignment horizontal="left"/>
    </xf>
    <xf numFmtId="0" fontId="13" fillId="0" borderId="0" xfId="0" applyFont="1" applyFill="1" applyBorder="1" applyAlignment="1">
      <alignment horizontal="left" wrapText="1"/>
    </xf>
    <xf numFmtId="0" fontId="0" fillId="0" borderId="34" xfId="0" applyBorder="1" applyAlignment="1">
      <alignment horizontal="right"/>
    </xf>
    <xf numFmtId="0" fontId="0" fillId="0" borderId="34" xfId="0" applyBorder="1" applyProtection="1">
      <protection locked="0"/>
    </xf>
    <xf numFmtId="0" fontId="0" fillId="0" borderId="35" xfId="0" applyBorder="1" applyAlignment="1">
      <alignment horizontal="right"/>
    </xf>
    <xf numFmtId="0" fontId="0" fillId="0" borderId="35" xfId="0" applyBorder="1" applyProtection="1">
      <protection locked="0"/>
    </xf>
    <xf numFmtId="0" fontId="7" fillId="0" borderId="35" xfId="0" applyFont="1" applyFill="1" applyBorder="1"/>
    <xf numFmtId="0" fontId="7" fillId="0" borderId="35" xfId="0" applyFont="1" applyFill="1" applyBorder="1" applyAlignment="1">
      <alignment horizontal="center"/>
    </xf>
    <xf numFmtId="0" fontId="0" fillId="0" borderId="35" xfId="0" applyFill="1" applyBorder="1" applyProtection="1">
      <protection locked="0"/>
    </xf>
    <xf numFmtId="0" fontId="0" fillId="2" borderId="35" xfId="0" applyFill="1" applyBorder="1" applyProtection="1">
      <protection locked="0"/>
    </xf>
    <xf numFmtId="0" fontId="0" fillId="0" borderId="0" xfId="0" applyBorder="1" applyAlignment="1">
      <alignment horizontal="right"/>
    </xf>
    <xf numFmtId="0" fontId="7" fillId="0" borderId="0" xfId="0" applyFont="1" applyFill="1" applyBorder="1"/>
    <xf numFmtId="0" fontId="7" fillId="0" borderId="0" xfId="0" applyFont="1" applyFill="1" applyBorder="1" applyAlignment="1">
      <alignment horizontal="center"/>
    </xf>
    <xf numFmtId="0" fontId="7" fillId="0" borderId="34" xfId="0" applyFont="1" applyBorder="1"/>
    <xf numFmtId="0" fontId="0" fillId="0" borderId="35" xfId="0" applyBorder="1"/>
    <xf numFmtId="0" fontId="0" fillId="0" borderId="35" xfId="0" applyBorder="1" applyAlignment="1">
      <alignment horizontal="center"/>
    </xf>
    <xf numFmtId="0" fontId="0" fillId="0" borderId="35" xfId="0" applyBorder="1" applyAlignment="1" applyProtection="1">
      <alignment wrapText="1"/>
      <protection locked="0"/>
    </xf>
    <xf numFmtId="0" fontId="7" fillId="0" borderId="0" xfId="0" applyFont="1" applyBorder="1" applyProtection="1">
      <protection locked="0"/>
    </xf>
    <xf numFmtId="0" fontId="36" fillId="0" borderId="0" xfId="16" applyFont="1" applyFill="1" applyBorder="1" applyAlignment="1">
      <alignment vertical="center"/>
    </xf>
    <xf numFmtId="0" fontId="37" fillId="0" borderId="0" xfId="17" applyFont="1" applyFill="1" applyBorder="1">
      <alignment vertical="center"/>
    </xf>
    <xf numFmtId="0" fontId="37" fillId="0" borderId="0" xfId="17" applyFont="1" applyFill="1">
      <alignment vertical="center"/>
    </xf>
    <xf numFmtId="0" fontId="37" fillId="0" borderId="0" xfId="17" applyFont="1" applyFill="1" applyAlignment="1">
      <alignment horizontal="right" vertical="center" indent="1"/>
    </xf>
    <xf numFmtId="0" fontId="37" fillId="0" borderId="0" xfId="17" applyFont="1" applyFill="1" applyAlignment="1">
      <alignment horizontal="left" vertical="center" indent="1"/>
    </xf>
    <xf numFmtId="0" fontId="36" fillId="8" borderId="0" xfId="16" applyFont="1" applyFill="1" applyBorder="1" applyAlignment="1">
      <alignment horizontal="left" vertical="center"/>
    </xf>
    <xf numFmtId="0" fontId="36" fillId="8" borderId="0" xfId="16" applyFont="1" applyFill="1" applyBorder="1" applyAlignment="1">
      <alignment horizontal="left" vertical="center" indent="1"/>
    </xf>
    <xf numFmtId="1" fontId="21" fillId="0" borderId="0" xfId="0" applyNumberFormat="1" applyFont="1" applyFill="1" applyAlignment="1">
      <alignment vertical="center"/>
    </xf>
    <xf numFmtId="1" fontId="18" fillId="0" borderId="0" xfId="0" applyNumberFormat="1" applyFont="1" applyFill="1" applyAlignment="1">
      <alignment horizontal="center" vertical="center"/>
    </xf>
    <xf numFmtId="1" fontId="22" fillId="0" borderId="0" xfId="0" applyNumberFormat="1" applyFont="1" applyFill="1" applyAlignment="1" applyProtection="1">
      <alignment horizontal="left" vertical="center"/>
      <protection locked="0"/>
    </xf>
    <xf numFmtId="0" fontId="40" fillId="2" borderId="0" xfId="19" applyFont="1" applyFill="1">
      <alignment vertical="center"/>
    </xf>
    <xf numFmtId="14" fontId="40" fillId="2" borderId="0" xfId="19" applyNumberFormat="1" applyFont="1" applyFill="1" applyProtection="1">
      <alignment vertical="center"/>
      <protection locked="0"/>
    </xf>
    <xf numFmtId="0" fontId="40" fillId="2" borderId="0" xfId="19" applyFont="1" applyFill="1" applyProtection="1">
      <alignment vertical="center"/>
      <protection locked="0"/>
    </xf>
    <xf numFmtId="0" fontId="41" fillId="2" borderId="0" xfId="19" applyFont="1" applyFill="1" applyProtection="1">
      <alignment vertical="center"/>
      <protection locked="0"/>
    </xf>
    <xf numFmtId="0" fontId="46" fillId="2" borderId="0" xfId="19" applyFont="1" applyFill="1" applyProtection="1">
      <alignment vertical="center"/>
      <protection locked="0"/>
    </xf>
    <xf numFmtId="14" fontId="46" fillId="2" borderId="0" xfId="19" applyNumberFormat="1" applyFont="1" applyFill="1" applyProtection="1">
      <alignment vertical="center"/>
      <protection locked="0"/>
    </xf>
    <xf numFmtId="0" fontId="38" fillId="2" borderId="0" xfId="19" applyFont="1" applyFill="1" applyAlignment="1" applyProtection="1">
      <alignment horizontal="center" vertical="center"/>
      <protection locked="0"/>
    </xf>
    <xf numFmtId="0" fontId="47" fillId="2" borderId="0" xfId="19" applyFont="1" applyFill="1" applyAlignment="1" applyProtection="1">
      <alignment horizontal="center" vertical="center"/>
      <protection locked="0"/>
    </xf>
    <xf numFmtId="0" fontId="49" fillId="2" borderId="0" xfId="19" applyFont="1" applyFill="1" applyBorder="1" applyProtection="1">
      <alignment vertical="center"/>
      <protection locked="0"/>
    </xf>
    <xf numFmtId="0" fontId="50" fillId="2" borderId="0" xfId="19" applyFont="1" applyFill="1" applyAlignment="1" applyProtection="1">
      <alignment horizontal="center"/>
      <protection locked="0"/>
    </xf>
    <xf numFmtId="0" fontId="50" fillId="2" borderId="0" xfId="19" applyFont="1" applyFill="1" applyProtection="1">
      <alignment vertical="center"/>
      <protection locked="0"/>
    </xf>
    <xf numFmtId="0" fontId="50" fillId="2" borderId="0" xfId="19" applyFont="1" applyFill="1" applyAlignment="1" applyProtection="1">
      <alignment horizontal="left"/>
      <protection locked="0"/>
    </xf>
    <xf numFmtId="0" fontId="46" fillId="2" borderId="0" xfId="19" applyFont="1" applyFill="1" applyBorder="1" applyAlignment="1" applyProtection="1">
      <alignment horizontal="left" vertical="center" wrapText="1" indent="2"/>
      <protection locked="0"/>
    </xf>
    <xf numFmtId="0" fontId="39" fillId="2" borderId="0" xfId="19" applyFont="1" applyFill="1" applyBorder="1" applyAlignment="1" applyProtection="1">
      <alignment horizontal="center" vertical="center" wrapText="1"/>
      <protection locked="0"/>
    </xf>
    <xf numFmtId="0" fontId="46" fillId="2" borderId="0" xfId="19" applyFont="1" applyFill="1" applyBorder="1" applyAlignment="1" applyProtection="1">
      <alignment horizontal="center" vertical="center"/>
      <protection locked="0"/>
    </xf>
    <xf numFmtId="0" fontId="40" fillId="2" borderId="0" xfId="19" applyFont="1" applyFill="1" applyAlignment="1" applyProtection="1">
      <alignment horizontal="center"/>
      <protection locked="0"/>
    </xf>
    <xf numFmtId="0" fontId="40" fillId="2" borderId="0" xfId="19" applyFont="1" applyFill="1" applyAlignment="1" applyProtection="1">
      <alignment horizontal="left"/>
      <protection locked="0"/>
    </xf>
    <xf numFmtId="0" fontId="39" fillId="0" borderId="0" xfId="19" applyFont="1" applyFill="1" applyBorder="1" applyAlignment="1" applyProtection="1">
      <alignment horizontal="center" vertical="center" wrapText="1"/>
      <protection locked="0"/>
    </xf>
    <xf numFmtId="0" fontId="40" fillId="7" borderId="0" xfId="19" applyFont="1" applyFill="1" applyProtection="1">
      <alignment vertical="center"/>
      <protection locked="0"/>
    </xf>
    <xf numFmtId="0" fontId="53" fillId="0" borderId="0" xfId="20" applyFont="1" applyFill="1" applyAlignment="1" applyProtection="1">
      <alignment horizontal="left" vertical="center"/>
      <protection locked="0"/>
    </xf>
    <xf numFmtId="0" fontId="54" fillId="0" borderId="0" xfId="19" applyFont="1" applyFill="1" applyProtection="1">
      <alignment vertical="center"/>
      <protection locked="0"/>
    </xf>
    <xf numFmtId="14" fontId="55" fillId="0" borderId="0" xfId="19" applyNumberFormat="1" applyFont="1" applyFill="1" applyAlignment="1" applyProtection="1">
      <alignment horizontal="center" vertical="center"/>
      <protection locked="0"/>
    </xf>
    <xf numFmtId="0" fontId="55" fillId="0" borderId="0" xfId="20" applyFont="1" applyFill="1" applyAlignment="1" applyProtection="1">
      <alignment horizontal="left"/>
      <protection locked="0"/>
    </xf>
    <xf numFmtId="0" fontId="56" fillId="0" borderId="0" xfId="21" applyFont="1" applyFill="1" applyAlignment="1" applyProtection="1">
      <alignment vertical="center"/>
      <protection locked="0"/>
    </xf>
    <xf numFmtId="0" fontId="57" fillId="2" borderId="0" xfId="22" applyFont="1" applyFill="1" applyBorder="1" applyAlignment="1" applyProtection="1">
      <alignment horizontal="left" vertical="center" indent="1"/>
      <protection locked="0"/>
    </xf>
    <xf numFmtId="0" fontId="58" fillId="2" borderId="0" xfId="19" applyFont="1" applyFill="1" applyAlignment="1" applyProtection="1">
      <alignment horizontal="center"/>
      <protection locked="0"/>
    </xf>
    <xf numFmtId="14" fontId="58" fillId="2" borderId="0" xfId="19" applyNumberFormat="1" applyFont="1" applyFill="1" applyProtection="1">
      <alignment vertical="center"/>
      <protection locked="0"/>
    </xf>
    <xf numFmtId="0" fontId="58" fillId="2" borderId="0" xfId="19" applyFont="1" applyFill="1" applyAlignment="1" applyProtection="1">
      <alignment horizontal="left"/>
      <protection locked="0"/>
    </xf>
    <xf numFmtId="0" fontId="58" fillId="2" borderId="0" xfId="19" applyFont="1" applyFill="1" applyProtection="1">
      <alignment vertical="center"/>
      <protection locked="0"/>
    </xf>
    <xf numFmtId="14" fontId="59" fillId="2" borderId="0" xfId="19" applyNumberFormat="1" applyFont="1" applyFill="1" applyBorder="1" applyAlignment="1" applyProtection="1">
      <alignment horizontal="left" vertical="center" indent="2"/>
      <protection locked="0"/>
    </xf>
    <xf numFmtId="0" fontId="55" fillId="2" borderId="0" xfId="19" applyFont="1" applyFill="1" applyBorder="1" applyAlignment="1" applyProtection="1">
      <alignment horizontal="left" vertical="center" indent="2"/>
      <protection locked="0"/>
    </xf>
    <xf numFmtId="0" fontId="59" fillId="2" borderId="0" xfId="19" applyFont="1" applyFill="1" applyBorder="1" applyAlignment="1" applyProtection="1">
      <alignment horizontal="left" vertical="center" wrapText="1" indent="2"/>
      <protection locked="0"/>
    </xf>
    <xf numFmtId="0" fontId="59" fillId="2" borderId="0" xfId="19" applyFont="1" applyFill="1" applyBorder="1" applyAlignment="1" applyProtection="1">
      <alignment horizontal="center" vertical="center" wrapText="1"/>
      <protection locked="0"/>
    </xf>
    <xf numFmtId="0" fontId="59" fillId="2" borderId="0" xfId="19" applyFont="1" applyFill="1" applyBorder="1" applyAlignment="1" applyProtection="1">
      <alignment horizontal="center" vertical="center"/>
      <protection locked="0"/>
    </xf>
    <xf numFmtId="0" fontId="59" fillId="2" borderId="0" xfId="19" applyNumberFormat="1" applyFont="1" applyFill="1" applyBorder="1" applyAlignment="1" applyProtection="1">
      <alignment horizontal="center" vertical="center"/>
      <protection locked="0"/>
    </xf>
    <xf numFmtId="0" fontId="51" fillId="7" borderId="0" xfId="19" applyFont="1" applyFill="1" applyAlignment="1">
      <alignment wrapText="1"/>
    </xf>
    <xf numFmtId="0" fontId="51" fillId="7" borderId="0" xfId="19" applyFont="1" applyFill="1" applyAlignment="1">
      <alignment vertical="center" wrapText="1"/>
    </xf>
    <xf numFmtId="0" fontId="60" fillId="0" borderId="0" xfId="0" applyFont="1" applyFill="1" applyAlignment="1" applyProtection="1">
      <alignment horizontal="left" vertical="center"/>
      <protection locked="0"/>
    </xf>
    <xf numFmtId="0" fontId="61" fillId="0" borderId="0" xfId="0" applyFont="1" applyFill="1" applyAlignment="1">
      <alignment vertical="center"/>
    </xf>
    <xf numFmtId="14" fontId="62" fillId="0" borderId="0" xfId="19" applyNumberFormat="1" applyFont="1" applyFill="1" applyAlignment="1" applyProtection="1">
      <alignment horizontal="left" vertical="center"/>
      <protection locked="0"/>
    </xf>
    <xf numFmtId="0" fontId="13" fillId="7" borderId="0" xfId="0" applyFont="1" applyFill="1" applyBorder="1"/>
    <xf numFmtId="14" fontId="63" fillId="3" borderId="6" xfId="0" applyNumberFormat="1" applyFont="1" applyFill="1" applyBorder="1" applyAlignment="1" applyProtection="1">
      <alignment horizontal="left" vertical="center"/>
      <protection locked="0"/>
    </xf>
    <xf numFmtId="0" fontId="12" fillId="7" borderId="0" xfId="0" applyFont="1" applyFill="1" applyBorder="1"/>
    <xf numFmtId="0" fontId="0" fillId="7" borderId="0" xfId="0" applyFill="1"/>
    <xf numFmtId="0" fontId="0" fillId="7" borderId="29" xfId="0" applyFill="1" applyBorder="1" applyProtection="1">
      <protection locked="0"/>
    </xf>
    <xf numFmtId="0" fontId="5" fillId="7" borderId="0" xfId="0" applyFont="1" applyFill="1"/>
    <xf numFmtId="0" fontId="7" fillId="7" borderId="0" xfId="0" applyFont="1" applyFill="1"/>
    <xf numFmtId="0" fontId="64" fillId="2" borderId="0" xfId="19" applyFont="1" applyFill="1" applyAlignment="1" applyProtection="1">
      <alignment horizontal="center" vertical="center"/>
      <protection locked="0"/>
    </xf>
    <xf numFmtId="0" fontId="46" fillId="2" borderId="0" xfId="19" applyFont="1" applyFill="1" applyBorder="1" applyAlignment="1" applyProtection="1">
      <alignment horizontal="left" vertical="center" wrapText="1"/>
      <protection locked="0"/>
    </xf>
    <xf numFmtId="0" fontId="44" fillId="0" borderId="0" xfId="19" applyFont="1" applyFill="1" applyBorder="1" applyAlignment="1">
      <alignment horizontal="center" vertical="center"/>
    </xf>
    <xf numFmtId="14" fontId="46" fillId="2" borderId="0" xfId="19" applyNumberFormat="1" applyFont="1" applyFill="1" applyBorder="1" applyProtection="1">
      <alignment vertical="center"/>
      <protection locked="0"/>
    </xf>
    <xf numFmtId="14" fontId="40" fillId="2" borderId="0" xfId="19" applyNumberFormat="1" applyFont="1" applyFill="1" applyBorder="1" applyProtection="1">
      <alignment vertical="center"/>
      <protection locked="0"/>
    </xf>
    <xf numFmtId="0" fontId="65" fillId="7" borderId="0" xfId="0" applyFont="1" applyFill="1" applyAlignment="1"/>
    <xf numFmtId="0" fontId="65" fillId="0" borderId="0" xfId="0" applyFont="1" applyFill="1" applyAlignment="1"/>
    <xf numFmtId="0" fontId="65" fillId="0" borderId="0" xfId="0" applyFont="1"/>
    <xf numFmtId="0" fontId="66" fillId="7" borderId="0" xfId="0" applyFont="1" applyFill="1" applyBorder="1" applyAlignment="1">
      <alignment horizontal="left"/>
    </xf>
    <xf numFmtId="0" fontId="66" fillId="7" borderId="0" xfId="0" applyFont="1" applyFill="1" applyBorder="1" applyAlignment="1">
      <alignment horizontal="left" wrapText="1"/>
    </xf>
    <xf numFmtId="0" fontId="65" fillId="0" borderId="0" xfId="0" applyFont="1" applyFill="1"/>
    <xf numFmtId="0" fontId="66" fillId="7" borderId="0" xfId="0" applyFont="1" applyFill="1" applyBorder="1"/>
    <xf numFmtId="0" fontId="67" fillId="7" borderId="0" xfId="0" applyFont="1" applyFill="1" applyBorder="1"/>
    <xf numFmtId="0" fontId="65" fillId="7" borderId="0" xfId="0" applyFont="1" applyFill="1" applyBorder="1" applyAlignment="1">
      <alignment horizontal="center"/>
    </xf>
    <xf numFmtId="0" fontId="68" fillId="0" borderId="8" xfId="0" applyFont="1" applyBorder="1" applyProtection="1">
      <protection locked="0"/>
    </xf>
    <xf numFmtId="0" fontId="69" fillId="7" borderId="0" xfId="0" applyFont="1" applyFill="1" applyBorder="1"/>
    <xf numFmtId="0" fontId="69" fillId="7" borderId="0" xfId="0" applyFont="1" applyFill="1" applyBorder="1" applyAlignment="1">
      <alignment horizontal="center"/>
    </xf>
    <xf numFmtId="0" fontId="69" fillId="7" borderId="0" xfId="0" applyFont="1" applyFill="1" applyBorder="1" applyAlignment="1">
      <alignment horizontal="left" vertical="center"/>
    </xf>
    <xf numFmtId="0" fontId="69" fillId="7" borderId="0" xfId="0" applyFont="1" applyFill="1" applyBorder="1" applyAlignment="1">
      <alignment horizontal="left"/>
    </xf>
    <xf numFmtId="0" fontId="69" fillId="7" borderId="0" xfId="0" applyFont="1" applyFill="1" applyBorder="1" applyAlignment="1">
      <alignment horizontal="left" vertical="center" wrapText="1"/>
    </xf>
    <xf numFmtId="0" fontId="69" fillId="7" borderId="0" xfId="0" applyFont="1" applyFill="1" applyBorder="1" applyAlignment="1">
      <alignment horizontal="center" vertical="top"/>
    </xf>
    <xf numFmtId="0" fontId="69" fillId="7" borderId="0" xfId="0" applyFont="1" applyFill="1" applyBorder="1" applyAlignment="1"/>
    <xf numFmtId="0" fontId="70" fillId="7" borderId="0" xfId="0" applyFont="1" applyFill="1" applyBorder="1" applyAlignment="1">
      <alignment vertical="center" wrapText="1"/>
    </xf>
    <xf numFmtId="0" fontId="69" fillId="7" borderId="0" xfId="0" applyFont="1" applyFill="1" applyBorder="1" applyAlignment="1">
      <alignment horizontal="left" wrapText="1"/>
    </xf>
    <xf numFmtId="0" fontId="71" fillId="7" borderId="0" xfId="0" applyFont="1" applyFill="1"/>
    <xf numFmtId="0" fontId="68" fillId="7" borderId="0" xfId="0" applyFont="1" applyFill="1"/>
    <xf numFmtId="0" fontId="72" fillId="7" borderId="0" xfId="19" applyFont="1" applyFill="1" applyBorder="1" applyAlignment="1" applyProtection="1">
      <alignment horizontal="left" vertical="center" indent="2"/>
      <protection locked="0"/>
    </xf>
    <xf numFmtId="0" fontId="72" fillId="7" borderId="0" xfId="19" applyFont="1" applyFill="1" applyBorder="1" applyAlignment="1" applyProtection="1">
      <alignment horizontal="center" vertical="center"/>
      <protection locked="0"/>
    </xf>
    <xf numFmtId="0" fontId="59" fillId="2" borderId="0" xfId="19" applyFont="1" applyFill="1" applyAlignment="1" applyProtection="1">
      <alignment horizontal="left" vertical="center" wrapText="1" indent="2"/>
      <protection locked="0"/>
    </xf>
    <xf numFmtId="0" fontId="59" fillId="10" borderId="0" xfId="19" applyFont="1" applyFill="1" applyAlignment="1" applyProtection="1">
      <alignment horizontal="left" vertical="center" wrapText="1" indent="2"/>
      <protection locked="0"/>
    </xf>
    <xf numFmtId="0" fontId="14" fillId="0" borderId="0" xfId="19" applyFont="1" applyFill="1" applyAlignment="1" applyProtection="1">
      <alignment horizontal="right" vertical="center"/>
      <protection locked="0"/>
    </xf>
    <xf numFmtId="14" fontId="40" fillId="7" borderId="0" xfId="19" applyNumberFormat="1" applyFont="1" applyFill="1" applyProtection="1">
      <alignment vertical="center"/>
      <protection locked="0"/>
    </xf>
    <xf numFmtId="0" fontId="73" fillId="2" borderId="0" xfId="19" applyFont="1" applyFill="1" applyAlignment="1" applyProtection="1">
      <alignment horizontal="right" vertical="center"/>
      <protection locked="0"/>
    </xf>
    <xf numFmtId="0" fontId="72" fillId="7" borderId="0" xfId="19" applyFont="1" applyFill="1" applyBorder="1" applyAlignment="1" applyProtection="1">
      <alignment horizontal="left" vertical="center" wrapText="1" indent="2"/>
      <protection locked="0"/>
    </xf>
    <xf numFmtId="0" fontId="72" fillId="7" borderId="21" xfId="8" applyFont="1" applyFill="1" applyBorder="1" applyAlignment="1" applyProtection="1">
      <alignment horizontal="center" vertical="center" wrapText="1"/>
      <protection locked="0"/>
    </xf>
    <xf numFmtId="0" fontId="10" fillId="0" borderId="0" xfId="0" applyFont="1" applyFill="1" applyAlignment="1" applyProtection="1">
      <alignment horizontal="right" vertical="center"/>
      <protection locked="0"/>
    </xf>
    <xf numFmtId="0" fontId="24" fillId="7" borderId="20" xfId="8" applyFont="1" applyFill="1" applyBorder="1" applyAlignment="1">
      <alignment horizontal="center" vertical="center"/>
    </xf>
    <xf numFmtId="9" fontId="0" fillId="0" borderId="0" xfId="0" applyNumberFormat="1"/>
    <xf numFmtId="0" fontId="0" fillId="0" borderId="34" xfId="0" applyBorder="1" applyAlignment="1">
      <alignment horizontal="right" vertical="top"/>
    </xf>
    <xf numFmtId="0" fontId="0" fillId="0" borderId="34" xfId="0" applyBorder="1" applyAlignment="1" applyProtection="1">
      <alignment vertical="top"/>
      <protection locked="0"/>
    </xf>
    <xf numFmtId="0" fontId="0" fillId="0" borderId="35" xfId="0" applyBorder="1" applyAlignment="1">
      <alignment horizontal="right" vertical="top"/>
    </xf>
    <xf numFmtId="0" fontId="0" fillId="0" borderId="35" xfId="0" applyBorder="1" applyAlignment="1" applyProtection="1">
      <alignment vertical="top"/>
      <protection locked="0"/>
    </xf>
    <xf numFmtId="0" fontId="0" fillId="0" borderId="35" xfId="0" applyBorder="1" applyAlignment="1" applyProtection="1">
      <alignment vertical="top" wrapText="1"/>
      <protection locked="0"/>
    </xf>
    <xf numFmtId="0" fontId="0" fillId="0" borderId="35" xfId="0" applyFill="1" applyBorder="1" applyAlignment="1" applyProtection="1">
      <alignment vertical="top"/>
      <protection locked="0"/>
    </xf>
    <xf numFmtId="0" fontId="7" fillId="0" borderId="34" xfId="0" applyFont="1" applyBorder="1" applyAlignment="1">
      <alignment vertical="top"/>
    </xf>
    <xf numFmtId="0" fontId="0" fillId="0" borderId="35" xfId="0" applyBorder="1" applyAlignment="1">
      <alignment horizontal="center" vertical="top"/>
    </xf>
    <xf numFmtId="0" fontId="7" fillId="0" borderId="35" xfId="0" applyFont="1" applyFill="1" applyBorder="1" applyAlignment="1">
      <alignment horizontal="center" vertical="top"/>
    </xf>
    <xf numFmtId="0" fontId="66" fillId="7" borderId="0" xfId="0" applyFont="1" applyFill="1" applyBorder="1" applyAlignment="1">
      <alignment horizontal="center"/>
    </xf>
    <xf numFmtId="0" fontId="65" fillId="7" borderId="0" xfId="0" applyFont="1" applyFill="1" applyAlignment="1"/>
    <xf numFmtId="0" fontId="7" fillId="0" borderId="0" xfId="0" applyNumberFormat="1" applyFont="1" applyBorder="1" applyAlignment="1" applyProtection="1">
      <alignment horizontal="left" vertical="center" wrapText="1"/>
      <protection locked="0"/>
    </xf>
    <xf numFmtId="0" fontId="69" fillId="7" borderId="0" xfId="0" applyFont="1" applyFill="1" applyBorder="1" applyAlignment="1">
      <alignment horizontal="center"/>
    </xf>
    <xf numFmtId="0" fontId="68" fillId="7" borderId="0" xfId="0" applyFont="1" applyFill="1" applyAlignment="1"/>
    <xf numFmtId="0" fontId="7" fillId="0" borderId="7" xfId="0" applyNumberFormat="1" applyFont="1" applyBorder="1" applyAlignment="1" applyProtection="1">
      <alignment horizontal="left" vertical="center" wrapText="1"/>
      <protection locked="0"/>
    </xf>
    <xf numFmtId="0" fontId="7" fillId="0" borderId="4" xfId="0" applyNumberFormat="1" applyFont="1" applyBorder="1" applyAlignment="1" applyProtection="1">
      <alignment horizontal="left" vertical="center" wrapText="1"/>
      <protection locked="0"/>
    </xf>
    <xf numFmtId="0" fontId="7" fillId="3" borderId="12" xfId="0" applyFont="1" applyFill="1" applyBorder="1" applyAlignment="1" applyProtection="1">
      <alignment vertical="center"/>
      <protection hidden="1"/>
    </xf>
    <xf numFmtId="0" fontId="0" fillId="0" borderId="0" xfId="0" applyAlignment="1"/>
    <xf numFmtId="2" fontId="6" fillId="3" borderId="12" xfId="0" applyNumberFormat="1" applyFont="1" applyFill="1" applyBorder="1" applyAlignment="1" applyProtection="1">
      <alignment vertical="center"/>
      <protection hidden="1"/>
    </xf>
    <xf numFmtId="0" fontId="43" fillId="7" borderId="0" xfId="23" applyFont="1" applyFill="1" applyAlignment="1" applyProtection="1">
      <alignment horizontal="center" vertical="center" wrapText="1"/>
    </xf>
    <xf numFmtId="166" fontId="19" fillId="0" borderId="0" xfId="0" applyNumberFormat="1" applyFont="1" applyFill="1" applyBorder="1" applyAlignment="1" applyProtection="1">
      <alignment horizontal="left" vertical="center"/>
      <protection locked="0"/>
    </xf>
    <xf numFmtId="166" fontId="10" fillId="0" borderId="0" xfId="0" applyNumberFormat="1" applyFont="1" applyFill="1" applyBorder="1" applyAlignment="1" applyProtection="1">
      <alignment horizontal="left" vertical="center"/>
      <protection locked="0"/>
    </xf>
    <xf numFmtId="0" fontId="14" fillId="0" borderId="0" xfId="0" applyFont="1" applyFill="1" applyAlignment="1">
      <alignment horizontal="left" vertical="center"/>
    </xf>
    <xf numFmtId="0" fontId="14" fillId="0" borderId="0" xfId="0" applyFont="1" applyAlignment="1">
      <alignment horizontal="left" vertical="center"/>
    </xf>
    <xf numFmtId="0" fontId="23" fillId="7" borderId="20" xfId="8" applyFont="1" applyFill="1" applyBorder="1" applyAlignment="1">
      <alignment horizontal="center" vertical="center" wrapText="1"/>
    </xf>
    <xf numFmtId="0" fontId="23" fillId="7" borderId="24" xfId="8" applyFont="1" applyFill="1" applyBorder="1" applyAlignment="1">
      <alignment horizontal="center" vertical="center"/>
    </xf>
    <xf numFmtId="0" fontId="23" fillId="7" borderId="22" xfId="8" applyFont="1" applyFill="1" applyBorder="1" applyAlignment="1">
      <alignment horizontal="center" vertical="center"/>
    </xf>
    <xf numFmtId="0" fontId="23" fillId="7" borderId="25" xfId="8" applyFont="1" applyFill="1" applyBorder="1" applyAlignment="1">
      <alignment horizontal="center" vertical="center"/>
    </xf>
    <xf numFmtId="0" fontId="23" fillId="7" borderId="24" xfId="8" applyFont="1" applyFill="1" applyBorder="1" applyAlignment="1">
      <alignment horizontal="center" vertical="center" wrapText="1"/>
    </xf>
    <xf numFmtId="0" fontId="15" fillId="7" borderId="22" xfId="0" applyFont="1" applyFill="1" applyBorder="1" applyAlignment="1">
      <alignment horizontal="center" vertical="center" wrapText="1"/>
    </xf>
    <xf numFmtId="0" fontId="15" fillId="7" borderId="23" xfId="0" applyFont="1" applyFill="1" applyBorder="1" applyAlignment="1">
      <alignment horizontal="center" vertical="center" wrapText="1"/>
    </xf>
    <xf numFmtId="0" fontId="23" fillId="7" borderId="26" xfId="8" applyFont="1" applyFill="1" applyBorder="1" applyAlignment="1">
      <alignment horizontal="center" vertical="center" wrapText="1"/>
    </xf>
    <xf numFmtId="0" fontId="15" fillId="7" borderId="25" xfId="0" applyFont="1" applyFill="1" applyBorder="1" applyAlignment="1">
      <alignment horizontal="center" vertical="center" wrapText="1"/>
    </xf>
    <xf numFmtId="0" fontId="3" fillId="7" borderId="22" xfId="0" applyFont="1" applyFill="1" applyBorder="1" applyAlignment="1">
      <alignment horizontal="center" vertical="center"/>
    </xf>
    <xf numFmtId="0" fontId="3" fillId="7" borderId="25" xfId="0" applyFont="1" applyFill="1" applyBorder="1" applyAlignment="1">
      <alignment horizontal="center" vertical="center"/>
    </xf>
    <xf numFmtId="0" fontId="23" fillId="7" borderId="20" xfId="8" applyFont="1" applyFill="1" applyBorder="1" applyAlignment="1">
      <alignment horizontal="center" vertical="center"/>
    </xf>
    <xf numFmtId="0" fontId="23" fillId="7" borderId="22" xfId="8" applyFont="1" applyFill="1" applyBorder="1" applyAlignment="1">
      <alignment horizontal="center" vertical="center" wrapText="1"/>
    </xf>
    <xf numFmtId="0" fontId="23" fillId="7" borderId="21" xfId="8" applyFont="1" applyFill="1" applyBorder="1" applyAlignment="1">
      <alignment horizontal="center" wrapText="1"/>
    </xf>
  </cellXfs>
  <cellStyles count="26">
    <cellStyle name="Datum" xfId="3"/>
    <cellStyle name="Komma 2" xfId="4"/>
    <cellStyle name="Link" xfId="7" builtinId="8"/>
    <cellStyle name="Link 2" xfId="23"/>
    <cellStyle name="Normal_030709_QAF_Spezifizierung_1.8" xfId="9"/>
    <cellStyle name="Prozent" xfId="1" builtinId="5"/>
    <cellStyle name="Prozent 2" xfId="10"/>
    <cellStyle name="Standard" xfId="0" builtinId="0"/>
    <cellStyle name="Standard 2" xfId="2"/>
    <cellStyle name="Standard 3" xfId="8"/>
    <cellStyle name="Standard 3 2" xfId="25"/>
    <cellStyle name="Standard 3 3" xfId="24"/>
    <cellStyle name="Standard 4" xfId="11"/>
    <cellStyle name="Standard 5" xfId="15"/>
    <cellStyle name="Standard 6" xfId="17"/>
    <cellStyle name="Standard 7" xfId="19"/>
    <cellStyle name="StandardDatum" xfId="5"/>
    <cellStyle name="Text, gesichert" xfId="12"/>
    <cellStyle name="Text, nicht gesichert" xfId="13"/>
    <cellStyle name="Überschrift 1 2" xfId="18"/>
    <cellStyle name="Überschrift 1 3" xfId="22"/>
    <cellStyle name="Überschrift 2 2" xfId="20"/>
    <cellStyle name="Überschrift 5" xfId="16"/>
    <cellStyle name="Überschrift 6" xfId="21"/>
    <cellStyle name="Währung 2" xfId="14"/>
    <cellStyle name="Zahl" xfId="6"/>
  </cellStyles>
  <dxfs count="62">
    <dxf>
      <font>
        <b val="0"/>
        <i val="0"/>
        <strike val="0"/>
        <condense val="0"/>
        <extend val="0"/>
        <outline val="0"/>
        <shadow val="0"/>
        <u val="none"/>
        <vertAlign val="baseline"/>
        <sz val="12"/>
        <color theme="1" tint="0.499984740745262"/>
        <name val="Calibri"/>
        <scheme val="none"/>
      </font>
      <numFmt numFmtId="0" formatCode="General"/>
      <fill>
        <patternFill patternType="solid">
          <fgColor indexed="64"/>
          <bgColor theme="0"/>
        </patternFill>
      </fill>
      <alignment horizontal="center" vertical="center" textRotation="0" wrapText="0" relativeIndent="0" justifyLastLine="0" shrinkToFit="0" readingOrder="0"/>
      <protection locked="0" hidden="0"/>
    </dxf>
    <dxf>
      <font>
        <strike val="0"/>
        <outline val="0"/>
        <shadow val="0"/>
        <u val="none"/>
        <vertAlign val="baseline"/>
        <sz val="12"/>
        <color theme="1"/>
        <name val="Calibri"/>
        <scheme val="none"/>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tint="0.499984740745262"/>
        <name val="Calibri"/>
        <scheme val="none"/>
      </font>
      <fill>
        <patternFill patternType="solid">
          <fgColor indexed="64"/>
          <bgColor theme="0"/>
        </patternFill>
      </fill>
      <alignment horizontal="left" vertical="center" textRotation="0" wrapText="1" relativeIndent="0" justifyLastLine="0" shrinkToFit="0" readingOrder="0"/>
      <protection locked="0" hidden="0"/>
    </dxf>
    <dxf>
      <font>
        <b val="0"/>
        <i val="0"/>
        <strike val="0"/>
        <condense val="0"/>
        <extend val="0"/>
        <outline val="0"/>
        <shadow val="0"/>
        <u val="none"/>
        <vertAlign val="baseline"/>
        <sz val="12"/>
        <color theme="1" tint="0.499984740745262"/>
        <name val="Wingdings 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strike val="0"/>
        <outline val="0"/>
        <shadow val="0"/>
        <u val="none"/>
        <vertAlign val="baseline"/>
        <sz val="12"/>
        <color theme="1"/>
        <name val="Calibri"/>
        <scheme val="none"/>
      </font>
      <fill>
        <patternFill patternType="solid">
          <fgColor indexed="64"/>
          <bgColor theme="0"/>
        </patternFill>
      </fill>
      <alignment horizontal="left" vertical="center" textRotation="0" wrapText="0" indent="2" justifyLastLine="0" shrinkToFit="0" readingOrder="0"/>
      <protection locked="0" hidden="0"/>
    </dxf>
    <dxf>
      <font>
        <strike val="0"/>
        <outline val="0"/>
        <shadow val="0"/>
        <u val="none"/>
        <vertAlign val="baseline"/>
        <sz val="12"/>
        <color theme="1"/>
        <name val="Calibri"/>
        <scheme val="none"/>
      </font>
      <numFmt numFmtId="298" formatCode="m/d/yyyy"/>
      <fill>
        <patternFill patternType="solid">
          <fgColor indexed="64"/>
          <bgColor theme="0"/>
        </patternFill>
      </fill>
      <alignment horizontal="left" vertical="center" textRotation="0" wrapText="0" indent="2" justifyLastLine="0" shrinkToFit="0" readingOrder="0"/>
      <protection locked="0" hidden="0"/>
    </dxf>
    <dxf>
      <font>
        <strike val="0"/>
        <outline val="0"/>
        <shadow val="0"/>
        <u val="none"/>
        <vertAlign val="baseline"/>
        <sz val="12"/>
        <name val="Calibri"/>
        <scheme val="none"/>
      </font>
      <fill>
        <patternFill patternType="solid">
          <fgColor indexed="64"/>
          <bgColor theme="0"/>
        </patternFill>
      </fill>
      <protection locked="0" hidden="0"/>
    </dxf>
    <dxf>
      <font>
        <b/>
        <strike val="0"/>
        <outline val="0"/>
        <shadow val="0"/>
        <u val="none"/>
        <vertAlign val="baseline"/>
        <sz val="16"/>
        <color theme="1" tint="4.9989318521683403E-2"/>
        <name val="Calibri"/>
        <scheme val="none"/>
      </font>
      <fill>
        <patternFill patternType="solid">
          <fgColor indexed="64"/>
          <bgColor theme="0" tint="-0.34998626667073579"/>
        </patternFill>
      </fill>
      <protection locked="0" hidden="0"/>
    </dxf>
    <dxf>
      <font>
        <color rgb="FFFF0000"/>
      </font>
    </dxf>
    <dxf>
      <font>
        <color rgb="FFFFC000"/>
      </font>
    </dxf>
    <dxf>
      <font>
        <color rgb="FF99D709"/>
      </font>
    </dxf>
    <dxf>
      <font>
        <color rgb="FFFF0000"/>
      </font>
    </dxf>
    <dxf>
      <fill>
        <patternFill>
          <bgColor theme="0" tint="-4.9989318521683403E-2"/>
        </patternFill>
      </fill>
    </dxf>
    <dxf>
      <font>
        <color rgb="FFFFC000"/>
      </font>
    </dxf>
    <dxf>
      <font>
        <color rgb="FF99D709"/>
      </font>
    </dxf>
    <dxf>
      <font>
        <color rgb="FFFF0000"/>
      </font>
    </dxf>
    <dxf>
      <fill>
        <patternFill>
          <bgColor theme="0" tint="-4.9989318521683403E-2"/>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border diagonalUp="0" diagonalDown="0">
        <left/>
        <right/>
        <top/>
        <bottom/>
        <vertical/>
        <horizontal/>
      </border>
    </dxf>
    <dxf>
      <font>
        <b/>
        <color theme="1"/>
      </font>
    </dxf>
    <dxf>
      <font>
        <b/>
        <color theme="1"/>
      </font>
      <border diagonalUp="0" diagonalDown="0">
        <left/>
        <right/>
        <top/>
        <bottom/>
        <vertical/>
        <horizontal/>
      </border>
    </dxf>
    <dxf>
      <font>
        <b/>
        <color theme="1"/>
      </font>
      <border diagonalUp="0" diagonalDown="0">
        <left/>
        <right/>
        <top/>
        <bottom/>
        <vertical/>
        <horizontal/>
      </border>
    </dxf>
    <dxf>
      <font>
        <color theme="1"/>
      </font>
      <border diagonalUp="0" diagonalDown="0">
        <left/>
        <right/>
        <top/>
        <bottom/>
        <vertical/>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s>
  <tableStyles count="4" defaultTableStyle="TableStyleMedium2" defaultPivotStyle="PivotStyleLight16">
    <tableStyle name="Projektzeitachse" pivot="0" count="2">
      <tableStyleElement type="wholeTable" dxfId="61"/>
      <tableStyleElement type="headerRow" dxfId="60"/>
    </tableStyle>
    <tableStyle name="Projektzeitachse 2" pivot="0" count="2">
      <tableStyleElement type="wholeTable" dxfId="59"/>
      <tableStyleElement type="headerRow" dxfId="58"/>
    </tableStyle>
    <tableStyle name="Projektzeitachse 3" pivot="0" count="2">
      <tableStyleElement type="wholeTable" dxfId="57"/>
      <tableStyleElement type="headerRow" dxfId="56"/>
    </tableStyle>
    <tableStyle name="TableStyleLight1 2" pivot="0" count="7">
      <tableStyleElement type="wholeTable" dxfId="55"/>
      <tableStyleElement type="headerRow" dxfId="54"/>
      <tableStyleElement type="totalRow" dxfId="53"/>
      <tableStyleElement type="firstColumn" dxfId="52"/>
      <tableStyleElement type="lastColumn" dxfId="51"/>
      <tableStyleElement type="firstRowStripe" dxfId="50"/>
      <tableStyleElement type="firstColumnStripe" dxfId="49"/>
    </tableStyle>
  </tableStyles>
  <colors>
    <mruColors>
      <color rgb="FFEAEAEA"/>
      <color rgb="FFF0F2F6"/>
      <color rgb="FFEAEDF2"/>
      <color rgb="FFFFFFFF"/>
      <color rgb="FFF8C7C8"/>
      <color rgb="FFF7AA9B"/>
      <color rgb="FFFFC7C8"/>
      <color rgb="FFFFC5C6"/>
      <color rgb="FFFFD5D6"/>
      <color rgb="FFFFA3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10-EC42-11CE-9E0D-00AA006002F3}" ax:persistence="persistStreamInit" r:id="rId1"/>
</file>

<file path=xl/activeX/activeX165.xml><?xml version="1.0" encoding="utf-8"?>
<ax:ocx xmlns:ax="http://schemas.microsoft.com/office/2006/activeX" xmlns:r="http://schemas.openxmlformats.org/officeDocument/2006/relationships" ax:classid="{978C9E23-D4B0-11CE-BF2D-00AA003F40D0}"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978C9E23-D4B0-11CE-BF2D-00AA003F40D0}" ax:persistence="persistStreamInit" r:id="rId1"/>
</file>

<file path=xl/activeX/activeX171.xml><?xml version="1.0" encoding="utf-8"?>
<ax:ocx xmlns:ax="http://schemas.microsoft.com/office/2006/activeX" xmlns:r="http://schemas.openxmlformats.org/officeDocument/2006/relationships" ax:classid="{978C9E23-D4B0-11CE-BF2D-00AA003F40D0}" ax:persistence="persistStreamInit" r:id="rId1"/>
</file>

<file path=xl/activeX/activeX172.xml><?xml version="1.0" encoding="utf-8"?>
<ax:ocx xmlns:ax="http://schemas.microsoft.com/office/2006/activeX" xmlns:r="http://schemas.openxmlformats.org/officeDocument/2006/relationships" ax:classid="{8BD21D10-EC42-11CE-9E0D-00AA006002F3}" ax:persistence="persistStreamInit" r:id="rId1"/>
</file>

<file path=xl/activeX/activeX173.xml><?xml version="1.0" encoding="utf-8"?>
<ax:ocx xmlns:ax="http://schemas.microsoft.com/office/2006/activeX" xmlns:r="http://schemas.openxmlformats.org/officeDocument/2006/relationships" ax:classid="{8BD21D2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activeX/activeX190.xml><?xml version="1.0" encoding="utf-8"?>
<ax:ocx xmlns:ax="http://schemas.microsoft.com/office/2006/activeX" xmlns:r="http://schemas.openxmlformats.org/officeDocument/2006/relationships" ax:classid="{8BD21D40-EC42-11CE-9E0D-00AA006002F3}" ax:persistence="persistStreamInit" r:id="rId1"/>
</file>

<file path=xl/activeX/activeX191.xml><?xml version="1.0" encoding="utf-8"?>
<ax:ocx xmlns:ax="http://schemas.microsoft.com/office/2006/activeX" xmlns:r="http://schemas.openxmlformats.org/officeDocument/2006/relationships" ax:classid="{8BD21D40-EC42-11CE-9E0D-00AA006002F3}"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8BD21D40-EC42-11CE-9E0D-00AA006002F3}" ax:persistence="persistStreamInit" r:id="rId1"/>
</file>

<file path=xl/activeX/activeX195.xml><?xml version="1.0" encoding="utf-8"?>
<ax:ocx xmlns:ax="http://schemas.microsoft.com/office/2006/activeX" xmlns:r="http://schemas.openxmlformats.org/officeDocument/2006/relationships" ax:classid="{8BD21D40-EC42-11CE-9E0D-00AA006002F3}" ax:persistence="persistStreamInit" r:id="rId1"/>
</file>

<file path=xl/activeX/activeX196.xml><?xml version="1.0" encoding="utf-8"?>
<ax:ocx xmlns:ax="http://schemas.microsoft.com/office/2006/activeX" xmlns:r="http://schemas.openxmlformats.org/officeDocument/2006/relationships" ax:classid="{8BD21D40-EC42-11CE-9E0D-00AA006002F3}" ax:persistence="persistStreamInit" r:id="rId1"/>
</file>

<file path=xl/activeX/activeX197.xml><?xml version="1.0" encoding="utf-8"?>
<ax:ocx xmlns:ax="http://schemas.microsoft.com/office/2006/activeX" xmlns:r="http://schemas.openxmlformats.org/officeDocument/2006/relationships" ax:classid="{8BD21D40-EC42-11CE-9E0D-00AA006002F3}" ax:persistence="persistStreamInit" r:id="rId1"/>
</file>

<file path=xl/activeX/activeX198.xml><?xml version="1.0" encoding="utf-8"?>
<ax:ocx xmlns:ax="http://schemas.microsoft.com/office/2006/activeX" xmlns:r="http://schemas.openxmlformats.org/officeDocument/2006/relationships" ax:classid="{8BD21D40-EC42-11CE-9E0D-00AA006002F3}" ax:persistence="persistStreamInit" r:id="rId1"/>
</file>

<file path=xl/activeX/activeX199.xml><?xml version="1.0" encoding="utf-8"?>
<ax:ocx xmlns:ax="http://schemas.microsoft.com/office/2006/activeX" xmlns:r="http://schemas.openxmlformats.org/officeDocument/2006/relationships" ax:classid="{8BD21D40-EC42-11CE-9E0D-00AA006002F3}" ax:persistence="persistStreamInit" r:id="rId1"/>
</file>

<file path=xl/activeX/activeX200.xml><?xml version="1.0" encoding="utf-8"?>
<ax:ocx xmlns:ax="http://schemas.microsoft.com/office/2006/activeX" xmlns:r="http://schemas.openxmlformats.org/officeDocument/2006/relationships" ax:classid="{8BD21D40-EC42-11CE-9E0D-00AA006002F3}" ax:persistence="persistStreamInit" r:id="rId1"/>
</file>

<file path=xl/activeX/activeX201.xml><?xml version="1.0" encoding="utf-8"?>
<ax:ocx xmlns:ax="http://schemas.microsoft.com/office/2006/activeX" xmlns:r="http://schemas.openxmlformats.org/officeDocument/2006/relationships" ax:classid="{8BD21D40-EC42-11CE-9E0D-00AA006002F3}" ax:persistence="persistStreamInit" r:id="rId1"/>
</file>

<file path=xl/activeX/activeX202.xml><?xml version="1.0" encoding="utf-8"?>
<ax:ocx xmlns:ax="http://schemas.microsoft.com/office/2006/activeX" xmlns:r="http://schemas.openxmlformats.org/officeDocument/2006/relationships" ax:classid="{8BD21D40-EC42-11CE-9E0D-00AA006002F3}" ax:persistence="persistStreamInit" r:id="rId1"/>
</file>

<file path=xl/activeX/activeX203.xml><?xml version="1.0" encoding="utf-8"?>
<ax:ocx xmlns:ax="http://schemas.microsoft.com/office/2006/activeX" xmlns:r="http://schemas.openxmlformats.org/officeDocument/2006/relationships" ax:classid="{8BD21D40-EC42-11CE-9E0D-00AA006002F3}" ax:persistence="persistStreamInit" r:id="rId1"/>
</file>

<file path=xl/activeX/activeX204.xml><?xml version="1.0" encoding="utf-8"?>
<ax:ocx xmlns:ax="http://schemas.microsoft.com/office/2006/activeX" xmlns:r="http://schemas.openxmlformats.org/officeDocument/2006/relationships" ax:classid="{8BD21D40-EC42-11CE-9E0D-00AA006002F3}" ax:persistence="persistStreamInit" r:id="rId1"/>
</file>

<file path=xl/activeX/activeX205.xml><?xml version="1.0" encoding="utf-8"?>
<ax:ocx xmlns:ax="http://schemas.microsoft.com/office/2006/activeX" xmlns:r="http://schemas.openxmlformats.org/officeDocument/2006/relationships" ax:classid="{8BD21D40-EC42-11CE-9E0D-00AA006002F3}" ax:persistence="persistStreamInit" r:id="rId1"/>
</file>

<file path=xl/activeX/activeX206.xml><?xml version="1.0" encoding="utf-8"?>
<ax:ocx xmlns:ax="http://schemas.microsoft.com/office/2006/activeX" xmlns:r="http://schemas.openxmlformats.org/officeDocument/2006/relationships" ax:classid="{8BD21D40-EC42-11CE-9E0D-00AA006002F3}" ax:persistence="persistStreamInit" r:id="rId1"/>
</file>

<file path=xl/activeX/activeX207.xml><?xml version="1.0" encoding="utf-8"?>
<ax:ocx xmlns:ax="http://schemas.microsoft.com/office/2006/activeX" xmlns:r="http://schemas.openxmlformats.org/officeDocument/2006/relationships" ax:classid="{8BD21D40-EC42-11CE-9E0D-00AA006002F3}" ax:persistence="persistStreamInit" r:id="rId1"/>
</file>

<file path=xl/activeX/activeX208.xml><?xml version="1.0" encoding="utf-8"?>
<ax:ocx xmlns:ax="http://schemas.microsoft.com/office/2006/activeX" xmlns:r="http://schemas.openxmlformats.org/officeDocument/2006/relationships" ax:classid="{8BD21D40-EC42-11CE-9E0D-00AA006002F3}" ax:persistence="persistStreamInit" r:id="rId1"/>
</file>

<file path=xl/activeX/activeX209.xml><?xml version="1.0" encoding="utf-8"?>
<ax:ocx xmlns:ax="http://schemas.microsoft.com/office/2006/activeX" xmlns:r="http://schemas.openxmlformats.org/officeDocument/2006/relationships" ax:classid="{8BD21D40-EC42-11CE-9E0D-00AA006002F3}" ax:persistence="persistStreamInit" r:id="rId1"/>
</file>

<file path=xl/activeX/activeX210.xml><?xml version="1.0" encoding="utf-8"?>
<ax:ocx xmlns:ax="http://schemas.microsoft.com/office/2006/activeX" xmlns:r="http://schemas.openxmlformats.org/officeDocument/2006/relationships" ax:classid="{8BD21D40-EC42-11CE-9E0D-00AA006002F3}" ax:persistence="persistStreamInit" r:id="rId1"/>
</file>

<file path=xl/activeX/activeX211.xml><?xml version="1.0" encoding="utf-8"?>
<ax:ocx xmlns:ax="http://schemas.microsoft.com/office/2006/activeX" xmlns:r="http://schemas.openxmlformats.org/officeDocument/2006/relationships" ax:classid="{8BD21D40-EC42-11CE-9E0D-00AA006002F3}" ax:persistence="persistStreamInit" r:id="rId1"/>
</file>

<file path=xl/activeX/activeX212.xml><?xml version="1.0" encoding="utf-8"?>
<ax:ocx xmlns:ax="http://schemas.microsoft.com/office/2006/activeX" xmlns:r="http://schemas.openxmlformats.org/officeDocument/2006/relationships" ax:classid="{8BD21D40-EC42-11CE-9E0D-00AA006002F3}" ax:persistence="persistStreamInit" r:id="rId1"/>
</file>

<file path=xl/activeX/activeX213.xml><?xml version="1.0" encoding="utf-8"?>
<ax:ocx xmlns:ax="http://schemas.microsoft.com/office/2006/activeX" xmlns:r="http://schemas.openxmlformats.org/officeDocument/2006/relationships" ax:classid="{8BD21D40-EC42-11CE-9E0D-00AA006002F3}" ax:persistence="persistStreamInit" r:id="rId1"/>
</file>

<file path=xl/activeX/activeX214.xml><?xml version="1.0" encoding="utf-8"?>
<ax:ocx xmlns:ax="http://schemas.microsoft.com/office/2006/activeX" xmlns:r="http://schemas.openxmlformats.org/officeDocument/2006/relationships" ax:classid="{8BD21D40-EC42-11CE-9E0D-00AA006002F3}" ax:persistence="persistStreamInit" r:id="rId1"/>
</file>

<file path=xl/activeX/activeX215.xml><?xml version="1.0" encoding="utf-8"?>
<ax:ocx xmlns:ax="http://schemas.microsoft.com/office/2006/activeX" xmlns:r="http://schemas.openxmlformats.org/officeDocument/2006/relationships" ax:classid="{8BD21D40-EC42-11CE-9E0D-00AA006002F3}" ax:persistence="persistStreamInit" r:id="rId1"/>
</file>

<file path=xl/activeX/activeX216.xml><?xml version="1.0" encoding="utf-8"?>
<ax:ocx xmlns:ax="http://schemas.microsoft.com/office/2006/activeX" xmlns:r="http://schemas.openxmlformats.org/officeDocument/2006/relationships" ax:classid="{8BD21D40-EC42-11CE-9E0D-00AA006002F3}" ax:persistence="persistStreamInit" r:id="rId1"/>
</file>

<file path=xl/activeX/activeX217.xml><?xml version="1.0" encoding="utf-8"?>
<ax:ocx xmlns:ax="http://schemas.microsoft.com/office/2006/activeX" xmlns:r="http://schemas.openxmlformats.org/officeDocument/2006/relationships" ax:classid="{8BD21D40-EC42-11CE-9E0D-00AA006002F3}" ax:persistence="persistStreamInit" r:id="rId1"/>
</file>

<file path=xl/activeX/activeX218.xml><?xml version="1.0" encoding="utf-8"?>
<ax:ocx xmlns:ax="http://schemas.microsoft.com/office/2006/activeX" xmlns:r="http://schemas.openxmlformats.org/officeDocument/2006/relationships" ax:classid="{8BD21D40-EC42-11CE-9E0D-00AA006002F3}" ax:persistence="persistStreamInit" r:id="rId1"/>
</file>

<file path=xl/activeX/activeX219.xml><?xml version="1.0" encoding="utf-8"?>
<ax:ocx xmlns:ax="http://schemas.microsoft.com/office/2006/activeX" xmlns:r="http://schemas.openxmlformats.org/officeDocument/2006/relationships" ax:classid="{8BD21D40-EC42-11CE-9E0D-00AA006002F3}" ax:persistence="persistStreamInit" r:id="rId1"/>
</file>

<file path=xl/activeX/activeX220.xml><?xml version="1.0" encoding="utf-8"?>
<ax:ocx xmlns:ax="http://schemas.microsoft.com/office/2006/activeX" xmlns:r="http://schemas.openxmlformats.org/officeDocument/2006/relationships" ax:classid="{8BD21D40-EC42-11CE-9E0D-00AA006002F3}" ax:persistence="persistStreamInit" r:id="rId1"/>
</file>

<file path=xl/activeX/activeX221.xml><?xml version="1.0" encoding="utf-8"?>
<ax:ocx xmlns:ax="http://schemas.microsoft.com/office/2006/activeX" xmlns:r="http://schemas.openxmlformats.org/officeDocument/2006/relationships" ax:classid="{8BD21D40-EC42-11CE-9E0D-00AA006002F3}" ax:persistence="persistStreamInit" r:id="rId1"/>
</file>

<file path=xl/activeX/activeX222.xml><?xml version="1.0" encoding="utf-8"?>
<ax:ocx xmlns:ax="http://schemas.microsoft.com/office/2006/activeX" xmlns:r="http://schemas.openxmlformats.org/officeDocument/2006/relationships" ax:classid="{8BD21D40-EC42-11CE-9E0D-00AA006002F3}" ax:persistence="persistStreamInit" r:id="rId1"/>
</file>

<file path=xl/activeX/activeX223.xml><?xml version="1.0" encoding="utf-8"?>
<ax:ocx xmlns:ax="http://schemas.microsoft.com/office/2006/activeX" xmlns:r="http://schemas.openxmlformats.org/officeDocument/2006/relationships" ax:classid="{8BD21D40-EC42-11CE-9E0D-00AA006002F3}" ax:persistence="persistStreamInit" r:id="rId1"/>
</file>

<file path=xl/activeX/activeX224.xml><?xml version="1.0" encoding="utf-8"?>
<ax:ocx xmlns:ax="http://schemas.microsoft.com/office/2006/activeX" xmlns:r="http://schemas.openxmlformats.org/officeDocument/2006/relationships" ax:classid="{8BD21D40-EC42-11CE-9E0D-00AA006002F3}" ax:persistence="persistStreamInit" r:id="rId1"/>
</file>

<file path=xl/activeX/activeX225.xml><?xml version="1.0" encoding="utf-8"?>
<ax:ocx xmlns:ax="http://schemas.microsoft.com/office/2006/activeX" xmlns:r="http://schemas.openxmlformats.org/officeDocument/2006/relationships" ax:classid="{8BD21D40-EC42-11CE-9E0D-00AA006002F3}" ax:persistence="persistStreamInit" r:id="rId1"/>
</file>

<file path=xl/activeX/activeX226.xml><?xml version="1.0" encoding="utf-8"?>
<ax:ocx xmlns:ax="http://schemas.microsoft.com/office/2006/activeX" xmlns:r="http://schemas.openxmlformats.org/officeDocument/2006/relationships" ax:classid="{8BD21D40-EC42-11CE-9E0D-00AA006002F3}" ax:persistence="persistStreamInit" r:id="rId1"/>
</file>

<file path=xl/activeX/activeX227.xml><?xml version="1.0" encoding="utf-8"?>
<ax:ocx xmlns:ax="http://schemas.microsoft.com/office/2006/activeX" xmlns:r="http://schemas.openxmlformats.org/officeDocument/2006/relationships" ax:classid="{8BD21D40-EC42-11CE-9E0D-00AA006002F3}" ax:persistence="persistStreamInit" r:id="rId1"/>
</file>

<file path=xl/activeX/activeX228.xml><?xml version="1.0" encoding="utf-8"?>
<ax:ocx xmlns:ax="http://schemas.microsoft.com/office/2006/activeX" xmlns:r="http://schemas.openxmlformats.org/officeDocument/2006/relationships" ax:classid="{8BD21D40-EC42-11CE-9E0D-00AA006002F3}" ax:persistence="persistStreamInit" r:id="rId1"/>
</file>

<file path=xl/activeX/activeX229.xml><?xml version="1.0" encoding="utf-8"?>
<ax:ocx xmlns:ax="http://schemas.microsoft.com/office/2006/activeX" xmlns:r="http://schemas.openxmlformats.org/officeDocument/2006/relationships" ax:classid="{8BD21D40-EC42-11CE-9E0D-00AA006002F3}" ax:persistence="persistStreamInit" r:id="rId1"/>
</file>

<file path=xl/activeX/activeX230.xml><?xml version="1.0" encoding="utf-8"?>
<ax:ocx xmlns:ax="http://schemas.microsoft.com/office/2006/activeX" xmlns:r="http://schemas.openxmlformats.org/officeDocument/2006/relationships" ax:classid="{8BD21D40-EC42-11CE-9E0D-00AA006002F3}" ax:persistence="persistStreamInit" r:id="rId1"/>
</file>

<file path=xl/activeX/activeX231.xml><?xml version="1.0" encoding="utf-8"?>
<ax:ocx xmlns:ax="http://schemas.microsoft.com/office/2006/activeX" xmlns:r="http://schemas.openxmlformats.org/officeDocument/2006/relationships" ax:classid="{4C599241-6926-101B-9992-00000B65C6F9}"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0.15299700215324294"/>
          <c:w val="0.86712783181424502"/>
          <c:h val="0.84227967515543201"/>
        </c:manualLayout>
      </c:layout>
      <c:barChart>
        <c:barDir val="col"/>
        <c:grouping val="clustered"/>
        <c:varyColors val="0"/>
        <c:ser>
          <c:idx val="1"/>
          <c:order val="1"/>
          <c:tx>
            <c:strRef>
              <c:f>Meilensteine!$J$28</c:f>
              <c:strCache>
                <c:ptCount val="1"/>
                <c:pt idx="0">
                  <c:v>Position</c:v>
                </c:pt>
              </c:strCache>
            </c:strRef>
          </c:tx>
          <c:spPr>
            <a:noFill/>
          </c:spPr>
          <c:invertIfNegative val="0"/>
          <c:dLbls>
            <c:dLbl>
              <c:idx val="0"/>
              <c:layout>
                <c:manualLayout>
                  <c:x val="-1.2346319353737832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DA6-4C74-BA1C-907605366B1A}"/>
                </c:ext>
              </c:extLst>
            </c:dLbl>
            <c:dLbl>
              <c:idx val="1"/>
              <c:layout>
                <c:manualLayout>
                  <c:x val="-2.1949012184422851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A6-4C74-BA1C-907605366B1A}"/>
                </c:ext>
              </c:extLst>
            </c:dLbl>
            <c:dLbl>
              <c:idx val="2"/>
              <c:layout>
                <c:manualLayout>
                  <c:x val="-2.1949012184422851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A6-4C74-BA1C-907605366B1A}"/>
                </c:ext>
              </c:extLst>
            </c:dLbl>
            <c:dLbl>
              <c:idx val="3"/>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A6-4C74-BA1C-907605366B1A}"/>
                </c:ext>
              </c:extLst>
            </c:dLbl>
            <c:dLbl>
              <c:idx val="4"/>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A6-4C74-BA1C-907605366B1A}"/>
                </c:ext>
              </c:extLst>
            </c:dLbl>
            <c:dLbl>
              <c:idx val="5"/>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A6-4C74-BA1C-907605366B1A}"/>
                </c:ext>
              </c:extLst>
            </c:dLbl>
            <c:dLbl>
              <c:idx val="6"/>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DA6-4C74-BA1C-907605366B1A}"/>
                </c:ext>
              </c:extLst>
            </c:dLbl>
            <c:dLbl>
              <c:idx val="7"/>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DA6-4C74-BA1C-907605366B1A}"/>
                </c:ext>
              </c:extLst>
            </c:dLbl>
            <c:dLbl>
              <c:idx val="8"/>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DA6-4C74-BA1C-907605366B1A}"/>
                </c:ext>
              </c:extLst>
            </c:dLbl>
            <c:dLbl>
              <c:idx val="9"/>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DA6-4C74-BA1C-907605366B1A}"/>
                </c:ext>
              </c:extLst>
            </c:dLbl>
            <c:dLbl>
              <c:idx val="10"/>
              <c:layout>
                <c:manualLayout>
                  <c:x val="-1.8656660356759355E-16"/>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DA6-4C74-BA1C-907605366B1A}"/>
                </c:ext>
              </c:extLst>
            </c:dLbl>
            <c:dLbl>
              <c:idx val="11"/>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DA6-4C74-BA1C-907605366B1A}"/>
                </c:ext>
              </c:extLst>
            </c:dLbl>
            <c:spPr>
              <a:noFill/>
              <a:ln>
                <a:noFill/>
              </a:ln>
              <a:effectLst/>
            </c:spPr>
            <c:txPr>
              <a:bodyPr vertOverflow="overflow" horzOverflow="overflow" wrap="square" lIns="38100" tIns="19050" rIns="38100" bIns="19050" anchor="ctr">
                <a:noAutofit/>
              </a:bodyPr>
              <a:lstStyle/>
              <a:p>
                <a:pPr>
                  <a:defRPr lang="de-DE" sz="1000" b="0" cap="all" spc="10" baseline="0">
                    <a:solidFill>
                      <a:schemeClr val="tx1"/>
                    </a:solidFill>
                    <a:latin typeface="Verdana" pitchFamily="34" charset="0"/>
                    <a:ea typeface="Verdana" pitchFamily="34" charset="0"/>
                    <a:cs typeface="Verdana" pitchFamily="34" charset="0"/>
                  </a:defRPr>
                </a:pPr>
                <a:endParaRPr lang="de-DE"/>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w="19050">
                <a:solidFill>
                  <a:schemeClr val="bg1">
                    <a:lumMod val="75000"/>
                  </a:schemeClr>
                </a:solidFill>
              </a:ln>
            </c:spPr>
          </c:errBars>
          <c:cat>
            <c:strRef>
              <c:f>Meilensteine!$C$29:$C$52</c:f>
              <c:strCache>
                <c:ptCount val="4"/>
                <c:pt idx="0">
                  <c:v>Projektstart </c:v>
                </c:pt>
                <c:pt idx="1">
                  <c:v>Vollständige Lieferung</c:v>
                </c:pt>
                <c:pt idx="2">
                  <c:v>BBÜ</c:v>
                </c:pt>
                <c:pt idx="3">
                  <c:v>Abnahme inkl. Kundenfähige Teile</c:v>
                </c:pt>
              </c:strCache>
            </c:strRef>
          </c:cat>
          <c:val>
            <c:numRef>
              <c:f>Meilensteine!$J$29:$J$52</c:f>
              <c:numCache>
                <c:formatCode>General</c:formatCode>
                <c:ptCount val="24"/>
                <c:pt idx="0">
                  <c:v>15</c:v>
                </c:pt>
                <c:pt idx="1">
                  <c:v>15</c:v>
                </c:pt>
                <c:pt idx="2">
                  <c:v>15</c:v>
                </c:pt>
                <c:pt idx="3">
                  <c:v>15</c:v>
                </c:pt>
                <c:pt idx="4">
                  <c:v>15</c:v>
                </c:pt>
                <c:pt idx="5">
                  <c:v>-10</c:v>
                </c:pt>
                <c:pt idx="6">
                  <c:v>10</c:v>
                </c:pt>
                <c:pt idx="7">
                  <c:v>15</c:v>
                </c:pt>
                <c:pt idx="8">
                  <c:v>10</c:v>
                </c:pt>
                <c:pt idx="9">
                  <c:v>15</c:v>
                </c:pt>
                <c:pt idx="10">
                  <c:v>15</c:v>
                </c:pt>
              </c:numCache>
            </c:numRef>
          </c:val>
          <c:extLst>
            <c:ext xmlns:c16="http://schemas.microsoft.com/office/drawing/2014/chart" uri="{C3380CC4-5D6E-409C-BE32-E72D297353CC}">
              <c16:uniqueId val="{0000000C-8DA6-4C74-BA1C-907605366B1A}"/>
            </c:ext>
          </c:extLst>
        </c:ser>
        <c:dLbls>
          <c:showLegendKey val="0"/>
          <c:showVal val="0"/>
          <c:showCatName val="0"/>
          <c:showSerName val="0"/>
          <c:showPercent val="0"/>
          <c:showBubbleSize val="0"/>
        </c:dLbls>
        <c:gapWidth val="150"/>
        <c:overlap val="20"/>
        <c:axId val="-503502528"/>
        <c:axId val="-503503616"/>
      </c:barChart>
      <c:lineChart>
        <c:grouping val="standard"/>
        <c:varyColors val="0"/>
        <c:ser>
          <c:idx val="0"/>
          <c:order val="0"/>
          <c:tx>
            <c:strRef>
              <c:f>Meilensteine!$B$28</c:f>
              <c:strCache>
                <c:ptCount val="1"/>
                <c:pt idx="0">
                  <c:v>Datum</c:v>
                </c:pt>
              </c:strCache>
            </c:strRef>
          </c:tx>
          <c:spPr>
            <a:ln>
              <a:noFill/>
            </a:ln>
          </c:spPr>
          <c:marker>
            <c:symbol val="circle"/>
            <c:size val="5"/>
            <c:spPr>
              <a:solidFill>
                <a:schemeClr val="accent1"/>
              </a:solidFill>
              <a:ln w="60325">
                <a:solidFill>
                  <a:schemeClr val="accent1"/>
                </a:solidFill>
              </a:ln>
            </c:spPr>
          </c:marker>
          <c:errBars>
            <c:errDir val="y"/>
            <c:errBarType val="both"/>
            <c:errValType val="percentage"/>
            <c:noEndCap val="0"/>
            <c:val val="5"/>
          </c:errBars>
          <c:cat>
            <c:numRef>
              <c:f>Meilensteine!$B$29:$B$52</c:f>
              <c:numCache>
                <c:formatCode>m/d/yyyy</c:formatCode>
                <c:ptCount val="24"/>
                <c:pt idx="0">
                  <c:v>42550</c:v>
                </c:pt>
                <c:pt idx="1">
                  <c:v>42948</c:v>
                </c:pt>
                <c:pt idx="2">
                  <c:v>43069</c:v>
                </c:pt>
                <c:pt idx="3">
                  <c:v>43159</c:v>
                </c:pt>
              </c:numCache>
            </c:numRef>
          </c:cat>
          <c:val>
            <c:numRef>
              <c:f>Meilensteine!$K$29:$K$52</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numCache>
            </c:numRef>
          </c:val>
          <c:smooth val="1"/>
          <c:extLst>
            <c:ext xmlns:c16="http://schemas.microsoft.com/office/drawing/2014/chart" uri="{C3380CC4-5D6E-409C-BE32-E72D297353CC}">
              <c16:uniqueId val="{0000000D-8DA6-4C74-BA1C-907605366B1A}"/>
            </c:ext>
          </c:extLst>
        </c:ser>
        <c:dLbls>
          <c:showLegendKey val="0"/>
          <c:showVal val="0"/>
          <c:showCatName val="0"/>
          <c:showSerName val="0"/>
          <c:showPercent val="0"/>
          <c:showBubbleSize val="0"/>
        </c:dLbls>
        <c:marker val="1"/>
        <c:smooth val="0"/>
        <c:axId val="-503509888"/>
        <c:axId val="-503508256"/>
      </c:lineChart>
      <c:dateAx>
        <c:axId val="-503509888"/>
        <c:scaling>
          <c:orientation val="minMax"/>
          <c:max val="43159"/>
          <c:min val="42488"/>
        </c:scaling>
        <c:delete val="0"/>
        <c:axPos val="b"/>
        <c:numFmt formatCode="[$-10407]d/mm/yy;@" sourceLinked="0"/>
        <c:majorTickMark val="cross"/>
        <c:minorTickMark val="in"/>
        <c:tickLblPos val="nextTo"/>
        <c:spPr>
          <a:noFill/>
          <a:ln w="15875">
            <a:solidFill>
              <a:schemeClr val="tx1"/>
            </a:solidFill>
            <a:prstDash val="solid"/>
          </a:ln>
        </c:spPr>
        <c:txPr>
          <a:bodyPr/>
          <a:lstStyle/>
          <a:p>
            <a:pPr>
              <a:defRPr lang="de-DE" sz="1100" b="1">
                <a:solidFill>
                  <a:schemeClr val="tx1"/>
                </a:solidFill>
                <a:latin typeface="Verdana" pitchFamily="34" charset="0"/>
                <a:ea typeface="Verdana" pitchFamily="34" charset="0"/>
                <a:cs typeface="Verdana" pitchFamily="34" charset="0"/>
              </a:defRPr>
            </a:pPr>
            <a:endParaRPr lang="de-DE"/>
          </a:p>
        </c:txPr>
        <c:crossAx val="-503508256"/>
        <c:crosses val="autoZero"/>
        <c:auto val="1"/>
        <c:lblOffset val="100"/>
        <c:baseTimeUnit val="days"/>
        <c:majorUnit val="1"/>
        <c:majorTimeUnit val="months"/>
        <c:minorUnit val="7"/>
        <c:minorTimeUnit val="days"/>
      </c:dateAx>
      <c:valAx>
        <c:axId val="-503508256"/>
        <c:scaling>
          <c:orientation val="minMax"/>
        </c:scaling>
        <c:delete val="1"/>
        <c:axPos val="l"/>
        <c:numFmt formatCode="General" sourceLinked="1"/>
        <c:majorTickMark val="out"/>
        <c:minorTickMark val="none"/>
        <c:tickLblPos val="nextTo"/>
        <c:crossAx val="-503509888"/>
        <c:crosses val="autoZero"/>
        <c:crossBetween val="midCat"/>
      </c:valAx>
      <c:valAx>
        <c:axId val="-503503616"/>
        <c:scaling>
          <c:orientation val="minMax"/>
        </c:scaling>
        <c:delete val="1"/>
        <c:axPos val="r"/>
        <c:numFmt formatCode="General" sourceLinked="1"/>
        <c:majorTickMark val="out"/>
        <c:minorTickMark val="none"/>
        <c:tickLblPos val="nextTo"/>
        <c:crossAx val="-503502528"/>
        <c:crosses val="max"/>
        <c:crossBetween val="between"/>
      </c:valAx>
      <c:catAx>
        <c:axId val="-503502528"/>
        <c:scaling>
          <c:orientation val="minMax"/>
        </c:scaling>
        <c:delete val="1"/>
        <c:axPos val="b"/>
        <c:numFmt formatCode="General" sourceLinked="1"/>
        <c:majorTickMark val="out"/>
        <c:minorTickMark val="none"/>
        <c:tickLblPos val="nextTo"/>
        <c:crossAx val="-503503616"/>
        <c:crosses val="autoZero"/>
        <c:auto val="1"/>
        <c:lblAlgn val="ctr"/>
        <c:lblOffset val="100"/>
        <c:noMultiLvlLbl val="0"/>
      </c:catAx>
      <c:spPr>
        <a:noFill/>
        <a:ln w="25400">
          <a:noFill/>
        </a:ln>
      </c:spPr>
    </c:plotArea>
    <c:plotVisOnly val="0"/>
    <c:dispBlanksAs val="gap"/>
    <c:showDLblsOverMax val="0"/>
  </c:chart>
  <c:spPr>
    <a:solidFill>
      <a:srgbClr val="FFFFFF"/>
    </a:solidFill>
    <a:ln>
      <a:noFill/>
    </a:ln>
  </c:spPr>
  <c:printSettings>
    <c:headerFooter/>
    <c:pageMargins b="0.750000000000001" l="0.70000000000000062" r="0.70000000000000062" t="0.750000000000001" header="0.30000000000000032" footer="0.30000000000000032"/>
    <c:pageSetup orientation="landscape"/>
  </c:printSettings>
  <c:userShapes r:id="rId1"/>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3.emf"/><Relationship Id="rId3" Type="http://schemas.openxmlformats.org/officeDocument/2006/relationships/image" Target="../media/image6.emf"/><Relationship Id="rId7" Type="http://schemas.openxmlformats.org/officeDocument/2006/relationships/image" Target="../media/image12.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1.emf"/><Relationship Id="rId11" Type="http://schemas.openxmlformats.org/officeDocument/2006/relationships/image" Target="../media/image14.emf"/><Relationship Id="rId5" Type="http://schemas.openxmlformats.org/officeDocument/2006/relationships/image" Target="../media/image10.emf"/><Relationship Id="rId15" Type="http://schemas.openxmlformats.org/officeDocument/2006/relationships/image" Target="../media/image2.emf"/><Relationship Id="rId10" Type="http://schemas.openxmlformats.org/officeDocument/2006/relationships/image" Target="../media/image4.emf"/><Relationship Id="rId4" Type="http://schemas.openxmlformats.org/officeDocument/2006/relationships/image" Target="../media/image9.emf"/><Relationship Id="rId9" Type="http://schemas.openxmlformats.org/officeDocument/2006/relationships/image" Target="../media/image5.emf"/><Relationship Id="rId1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4</xdr:row>
          <xdr:rowOff>38100</xdr:rowOff>
        </xdr:from>
        <xdr:to>
          <xdr:col>5</xdr:col>
          <xdr:colOff>514350</xdr:colOff>
          <xdr:row>5</xdr:row>
          <xdr:rowOff>38100</xdr:rowOff>
        </xdr:to>
        <xdr:sp macro="" textlink="">
          <xdr:nvSpPr>
            <xdr:cNvPr id="334849" name="onHoldSchmid2" hidden="1">
              <a:extLst>
                <a:ext uri="{63B3BB69-23CF-44E3-9099-C40C66FF867C}">
                  <a14:compatExt spid="_x0000_s334849"/>
                </a:ext>
                <a:ext uri="{FF2B5EF4-FFF2-40B4-BE49-F238E27FC236}">
                  <a16:creationId xmlns:a16="http://schemas.microsoft.com/office/drawing/2014/main" id="{00000000-0008-0000-0000-00000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xdr:row>
          <xdr:rowOff>257175</xdr:rowOff>
        </xdr:from>
        <xdr:to>
          <xdr:col>5</xdr:col>
          <xdr:colOff>514350</xdr:colOff>
          <xdr:row>6</xdr:row>
          <xdr:rowOff>66675</xdr:rowOff>
        </xdr:to>
        <xdr:sp macro="" textlink="">
          <xdr:nvSpPr>
            <xdr:cNvPr id="334850" name="onHoldSchmid3" hidden="1">
              <a:extLst>
                <a:ext uri="{63B3BB69-23CF-44E3-9099-C40C66FF867C}">
                  <a14:compatExt spid="_x0000_s334850"/>
                </a:ext>
                <a:ext uri="{FF2B5EF4-FFF2-40B4-BE49-F238E27FC236}">
                  <a16:creationId xmlns:a16="http://schemas.microsoft.com/office/drawing/2014/main" id="{00000000-0008-0000-0000-00000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238125</xdr:rowOff>
        </xdr:from>
        <xdr:to>
          <xdr:col>5</xdr:col>
          <xdr:colOff>523875</xdr:colOff>
          <xdr:row>7</xdr:row>
          <xdr:rowOff>47625</xdr:rowOff>
        </xdr:to>
        <xdr:sp macro="" textlink="">
          <xdr:nvSpPr>
            <xdr:cNvPr id="334851" name="onHoldSchmid4" hidden="1">
              <a:extLst>
                <a:ext uri="{63B3BB69-23CF-44E3-9099-C40C66FF867C}">
                  <a14:compatExt spid="_x0000_s334851"/>
                </a:ext>
                <a:ext uri="{FF2B5EF4-FFF2-40B4-BE49-F238E27FC236}">
                  <a16:creationId xmlns:a16="http://schemas.microsoft.com/office/drawing/2014/main" id="{00000000-0008-0000-0000-00000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7</xdr:row>
          <xdr:rowOff>9525</xdr:rowOff>
        </xdr:from>
        <xdr:to>
          <xdr:col>5</xdr:col>
          <xdr:colOff>523875</xdr:colOff>
          <xdr:row>8</xdr:row>
          <xdr:rowOff>9525</xdr:rowOff>
        </xdr:to>
        <xdr:sp macro="" textlink="">
          <xdr:nvSpPr>
            <xdr:cNvPr id="334852" name="onHoldSchmid5" hidden="1">
              <a:extLst>
                <a:ext uri="{63B3BB69-23CF-44E3-9099-C40C66FF867C}">
                  <a14:compatExt spid="_x0000_s334852"/>
                </a:ext>
                <a:ext uri="{FF2B5EF4-FFF2-40B4-BE49-F238E27FC236}">
                  <a16:creationId xmlns:a16="http://schemas.microsoft.com/office/drawing/2014/main" id="{00000000-0008-0000-0000-00000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9</xdr:row>
          <xdr:rowOff>9525</xdr:rowOff>
        </xdr:from>
        <xdr:to>
          <xdr:col>5</xdr:col>
          <xdr:colOff>523875</xdr:colOff>
          <xdr:row>10</xdr:row>
          <xdr:rowOff>9525</xdr:rowOff>
        </xdr:to>
        <xdr:sp macro="" textlink="">
          <xdr:nvSpPr>
            <xdr:cNvPr id="334853" name="onHoldSchmid7" hidden="1">
              <a:extLst>
                <a:ext uri="{63B3BB69-23CF-44E3-9099-C40C66FF867C}">
                  <a14:compatExt spid="_x0000_s334853"/>
                </a:ext>
                <a:ext uri="{FF2B5EF4-FFF2-40B4-BE49-F238E27FC236}">
                  <a16:creationId xmlns:a16="http://schemas.microsoft.com/office/drawing/2014/main" id="{00000000-0008-0000-0000-00000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10</xdr:row>
          <xdr:rowOff>28575</xdr:rowOff>
        </xdr:from>
        <xdr:to>
          <xdr:col>5</xdr:col>
          <xdr:colOff>523875</xdr:colOff>
          <xdr:row>11</xdr:row>
          <xdr:rowOff>28575</xdr:rowOff>
        </xdr:to>
        <xdr:sp macro="" textlink="">
          <xdr:nvSpPr>
            <xdr:cNvPr id="334854" name="onHoldSchmid8" hidden="1">
              <a:extLst>
                <a:ext uri="{63B3BB69-23CF-44E3-9099-C40C66FF867C}">
                  <a14:compatExt spid="_x0000_s334854"/>
                </a:ext>
                <a:ext uri="{FF2B5EF4-FFF2-40B4-BE49-F238E27FC236}">
                  <a16:creationId xmlns:a16="http://schemas.microsoft.com/office/drawing/2014/main" id="{00000000-0008-0000-0000-00000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12</xdr:row>
          <xdr:rowOff>28575</xdr:rowOff>
        </xdr:from>
        <xdr:to>
          <xdr:col>5</xdr:col>
          <xdr:colOff>523875</xdr:colOff>
          <xdr:row>13</xdr:row>
          <xdr:rowOff>28575</xdr:rowOff>
        </xdr:to>
        <xdr:sp macro="" textlink="">
          <xdr:nvSpPr>
            <xdr:cNvPr id="334855" name="onHoldSchmid10" hidden="1">
              <a:extLst>
                <a:ext uri="{63B3BB69-23CF-44E3-9099-C40C66FF867C}">
                  <a14:compatExt spid="_x0000_s334855"/>
                </a:ext>
                <a:ext uri="{FF2B5EF4-FFF2-40B4-BE49-F238E27FC236}">
                  <a16:creationId xmlns:a16="http://schemas.microsoft.com/office/drawing/2014/main" id="{00000000-0008-0000-0000-00000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13</xdr:row>
          <xdr:rowOff>0</xdr:rowOff>
        </xdr:from>
        <xdr:to>
          <xdr:col>5</xdr:col>
          <xdr:colOff>523875</xdr:colOff>
          <xdr:row>14</xdr:row>
          <xdr:rowOff>0</xdr:rowOff>
        </xdr:to>
        <xdr:sp macro="" textlink="">
          <xdr:nvSpPr>
            <xdr:cNvPr id="334856" name="CheckBox8" hidden="1">
              <a:extLst>
                <a:ext uri="{63B3BB69-23CF-44E3-9099-C40C66FF867C}">
                  <a14:compatExt spid="_x0000_s334856"/>
                </a:ext>
                <a:ext uri="{FF2B5EF4-FFF2-40B4-BE49-F238E27FC236}">
                  <a16:creationId xmlns:a16="http://schemas.microsoft.com/office/drawing/2014/main" id="{00000000-0008-0000-0000-00000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11</xdr:row>
          <xdr:rowOff>38100</xdr:rowOff>
        </xdr:from>
        <xdr:to>
          <xdr:col>5</xdr:col>
          <xdr:colOff>523875</xdr:colOff>
          <xdr:row>12</xdr:row>
          <xdr:rowOff>38100</xdr:rowOff>
        </xdr:to>
        <xdr:sp macro="" textlink="">
          <xdr:nvSpPr>
            <xdr:cNvPr id="334857" name="CheckBox9" hidden="1">
              <a:extLst>
                <a:ext uri="{63B3BB69-23CF-44E3-9099-C40C66FF867C}">
                  <a14:compatExt spid="_x0000_s334857"/>
                </a:ext>
                <a:ext uri="{FF2B5EF4-FFF2-40B4-BE49-F238E27FC236}">
                  <a16:creationId xmlns:a16="http://schemas.microsoft.com/office/drawing/2014/main" id="{00000000-0008-0000-0000-00000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8</xdr:row>
          <xdr:rowOff>0</xdr:rowOff>
        </xdr:from>
        <xdr:to>
          <xdr:col>5</xdr:col>
          <xdr:colOff>523875</xdr:colOff>
          <xdr:row>9</xdr:row>
          <xdr:rowOff>0</xdr:rowOff>
        </xdr:to>
        <xdr:sp macro="" textlink="">
          <xdr:nvSpPr>
            <xdr:cNvPr id="334858" name="onHoldSchmid6" hidden="1">
              <a:extLst>
                <a:ext uri="{63B3BB69-23CF-44E3-9099-C40C66FF867C}">
                  <a14:compatExt spid="_x0000_s334858"/>
                </a:ext>
                <a:ext uri="{FF2B5EF4-FFF2-40B4-BE49-F238E27FC236}">
                  <a16:creationId xmlns:a16="http://schemas.microsoft.com/office/drawing/2014/main" id="{00000000-0008-0000-0000-00000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14</xdr:row>
          <xdr:rowOff>19050</xdr:rowOff>
        </xdr:from>
        <xdr:to>
          <xdr:col>5</xdr:col>
          <xdr:colOff>533400</xdr:colOff>
          <xdr:row>15</xdr:row>
          <xdr:rowOff>19050</xdr:rowOff>
        </xdr:to>
        <xdr:sp macro="" textlink="">
          <xdr:nvSpPr>
            <xdr:cNvPr id="334859" name="onHoldSchmid12" hidden="1">
              <a:extLst>
                <a:ext uri="{63B3BB69-23CF-44E3-9099-C40C66FF867C}">
                  <a14:compatExt spid="_x0000_s334859"/>
                </a:ext>
                <a:ext uri="{FF2B5EF4-FFF2-40B4-BE49-F238E27FC236}">
                  <a16:creationId xmlns:a16="http://schemas.microsoft.com/office/drawing/2014/main" id="{00000000-0008-0000-0000-00000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15</xdr:row>
          <xdr:rowOff>28575</xdr:rowOff>
        </xdr:from>
        <xdr:to>
          <xdr:col>5</xdr:col>
          <xdr:colOff>533400</xdr:colOff>
          <xdr:row>16</xdr:row>
          <xdr:rowOff>28575</xdr:rowOff>
        </xdr:to>
        <xdr:sp macro="" textlink="">
          <xdr:nvSpPr>
            <xdr:cNvPr id="334860" name="onHoldSchmid13" hidden="1">
              <a:extLst>
                <a:ext uri="{63B3BB69-23CF-44E3-9099-C40C66FF867C}">
                  <a14:compatExt spid="_x0000_s334860"/>
                </a:ext>
                <a:ext uri="{FF2B5EF4-FFF2-40B4-BE49-F238E27FC236}">
                  <a16:creationId xmlns:a16="http://schemas.microsoft.com/office/drawing/2014/main" id="{00000000-0008-0000-0000-00000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16</xdr:row>
          <xdr:rowOff>28575</xdr:rowOff>
        </xdr:from>
        <xdr:to>
          <xdr:col>5</xdr:col>
          <xdr:colOff>542925</xdr:colOff>
          <xdr:row>17</xdr:row>
          <xdr:rowOff>28575</xdr:rowOff>
        </xdr:to>
        <xdr:sp macro="" textlink="">
          <xdr:nvSpPr>
            <xdr:cNvPr id="334861" name="onHoldSchmid14" hidden="1">
              <a:extLst>
                <a:ext uri="{63B3BB69-23CF-44E3-9099-C40C66FF867C}">
                  <a14:compatExt spid="_x0000_s334861"/>
                </a:ext>
                <a:ext uri="{FF2B5EF4-FFF2-40B4-BE49-F238E27FC236}">
                  <a16:creationId xmlns:a16="http://schemas.microsoft.com/office/drawing/2014/main" id="{00000000-0008-0000-0000-00000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17</xdr:row>
          <xdr:rowOff>28575</xdr:rowOff>
        </xdr:from>
        <xdr:to>
          <xdr:col>5</xdr:col>
          <xdr:colOff>542925</xdr:colOff>
          <xdr:row>18</xdr:row>
          <xdr:rowOff>28575</xdr:rowOff>
        </xdr:to>
        <xdr:sp macro="" textlink="">
          <xdr:nvSpPr>
            <xdr:cNvPr id="334862" name="onHoldSchmid15" hidden="1">
              <a:extLst>
                <a:ext uri="{63B3BB69-23CF-44E3-9099-C40C66FF867C}">
                  <a14:compatExt spid="_x0000_s334862"/>
                </a:ext>
                <a:ext uri="{FF2B5EF4-FFF2-40B4-BE49-F238E27FC236}">
                  <a16:creationId xmlns:a16="http://schemas.microsoft.com/office/drawing/2014/main" id="{00000000-0008-0000-0000-00000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18</xdr:row>
          <xdr:rowOff>38100</xdr:rowOff>
        </xdr:from>
        <xdr:to>
          <xdr:col>5</xdr:col>
          <xdr:colOff>552450</xdr:colOff>
          <xdr:row>19</xdr:row>
          <xdr:rowOff>38100</xdr:rowOff>
        </xdr:to>
        <xdr:sp macro="" textlink="">
          <xdr:nvSpPr>
            <xdr:cNvPr id="334863" name="onHoldSchmid16" hidden="1">
              <a:extLst>
                <a:ext uri="{63B3BB69-23CF-44E3-9099-C40C66FF867C}">
                  <a14:compatExt spid="_x0000_s334863"/>
                </a:ext>
                <a:ext uri="{FF2B5EF4-FFF2-40B4-BE49-F238E27FC236}">
                  <a16:creationId xmlns:a16="http://schemas.microsoft.com/office/drawing/2014/main" id="{00000000-0008-0000-0000-00000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47625</xdr:rowOff>
        </xdr:from>
        <xdr:to>
          <xdr:col>5</xdr:col>
          <xdr:colOff>552450</xdr:colOff>
          <xdr:row>20</xdr:row>
          <xdr:rowOff>47625</xdr:rowOff>
        </xdr:to>
        <xdr:sp macro="" textlink="">
          <xdr:nvSpPr>
            <xdr:cNvPr id="334864" name="onHoldSchmid17" hidden="1">
              <a:extLst>
                <a:ext uri="{63B3BB69-23CF-44E3-9099-C40C66FF867C}">
                  <a14:compatExt spid="_x0000_s334864"/>
                </a:ext>
                <a:ext uri="{FF2B5EF4-FFF2-40B4-BE49-F238E27FC236}">
                  <a16:creationId xmlns:a16="http://schemas.microsoft.com/office/drawing/2014/main" id="{00000000-0008-0000-0000-00001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20</xdr:row>
          <xdr:rowOff>38100</xdr:rowOff>
        </xdr:from>
        <xdr:to>
          <xdr:col>5</xdr:col>
          <xdr:colOff>552450</xdr:colOff>
          <xdr:row>21</xdr:row>
          <xdr:rowOff>38100</xdr:rowOff>
        </xdr:to>
        <xdr:sp macro="" textlink="">
          <xdr:nvSpPr>
            <xdr:cNvPr id="334865" name="onHoldSchmid18" hidden="1">
              <a:extLst>
                <a:ext uri="{63B3BB69-23CF-44E3-9099-C40C66FF867C}">
                  <a14:compatExt spid="_x0000_s334865"/>
                </a:ext>
                <a:ext uri="{FF2B5EF4-FFF2-40B4-BE49-F238E27FC236}">
                  <a16:creationId xmlns:a16="http://schemas.microsoft.com/office/drawing/2014/main" id="{00000000-0008-0000-0000-00001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38100</xdr:rowOff>
        </xdr:from>
        <xdr:to>
          <xdr:col>5</xdr:col>
          <xdr:colOff>552450</xdr:colOff>
          <xdr:row>22</xdr:row>
          <xdr:rowOff>38100</xdr:rowOff>
        </xdr:to>
        <xdr:sp macro="" textlink="">
          <xdr:nvSpPr>
            <xdr:cNvPr id="334866" name="onHoldSchmid19" hidden="1">
              <a:extLst>
                <a:ext uri="{63B3BB69-23CF-44E3-9099-C40C66FF867C}">
                  <a14:compatExt spid="_x0000_s334866"/>
                </a:ext>
                <a:ext uri="{FF2B5EF4-FFF2-40B4-BE49-F238E27FC236}">
                  <a16:creationId xmlns:a16="http://schemas.microsoft.com/office/drawing/2014/main" id="{00000000-0008-0000-0000-00001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22</xdr:row>
          <xdr:rowOff>19050</xdr:rowOff>
        </xdr:from>
        <xdr:to>
          <xdr:col>5</xdr:col>
          <xdr:colOff>552450</xdr:colOff>
          <xdr:row>23</xdr:row>
          <xdr:rowOff>19050</xdr:rowOff>
        </xdr:to>
        <xdr:sp macro="" textlink="">
          <xdr:nvSpPr>
            <xdr:cNvPr id="334867" name="onHoldSchmid20" hidden="1">
              <a:extLst>
                <a:ext uri="{63B3BB69-23CF-44E3-9099-C40C66FF867C}">
                  <a14:compatExt spid="_x0000_s334867"/>
                </a:ext>
                <a:ext uri="{FF2B5EF4-FFF2-40B4-BE49-F238E27FC236}">
                  <a16:creationId xmlns:a16="http://schemas.microsoft.com/office/drawing/2014/main" id="{00000000-0008-0000-0000-00001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28575</xdr:rowOff>
        </xdr:from>
        <xdr:to>
          <xdr:col>5</xdr:col>
          <xdr:colOff>552450</xdr:colOff>
          <xdr:row>24</xdr:row>
          <xdr:rowOff>28575</xdr:rowOff>
        </xdr:to>
        <xdr:sp macro="" textlink="">
          <xdr:nvSpPr>
            <xdr:cNvPr id="334868" name="onHoldSchmid21" hidden="1">
              <a:extLst>
                <a:ext uri="{63B3BB69-23CF-44E3-9099-C40C66FF867C}">
                  <a14:compatExt spid="_x0000_s334868"/>
                </a:ext>
                <a:ext uri="{FF2B5EF4-FFF2-40B4-BE49-F238E27FC236}">
                  <a16:creationId xmlns:a16="http://schemas.microsoft.com/office/drawing/2014/main" id="{00000000-0008-0000-0000-00001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24</xdr:row>
          <xdr:rowOff>47625</xdr:rowOff>
        </xdr:from>
        <xdr:to>
          <xdr:col>5</xdr:col>
          <xdr:colOff>561975</xdr:colOff>
          <xdr:row>25</xdr:row>
          <xdr:rowOff>47625</xdr:rowOff>
        </xdr:to>
        <xdr:sp macro="" textlink="">
          <xdr:nvSpPr>
            <xdr:cNvPr id="334869" name="onHoldSchmid22" hidden="1">
              <a:extLst>
                <a:ext uri="{63B3BB69-23CF-44E3-9099-C40C66FF867C}">
                  <a14:compatExt spid="_x0000_s334869"/>
                </a:ext>
                <a:ext uri="{FF2B5EF4-FFF2-40B4-BE49-F238E27FC236}">
                  <a16:creationId xmlns:a16="http://schemas.microsoft.com/office/drawing/2014/main" id="{00000000-0008-0000-0000-00001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25</xdr:row>
          <xdr:rowOff>47625</xdr:rowOff>
        </xdr:from>
        <xdr:to>
          <xdr:col>5</xdr:col>
          <xdr:colOff>561975</xdr:colOff>
          <xdr:row>26</xdr:row>
          <xdr:rowOff>47625</xdr:rowOff>
        </xdr:to>
        <xdr:sp macro="" textlink="">
          <xdr:nvSpPr>
            <xdr:cNvPr id="334870" name="CheckBox22" hidden="1">
              <a:extLst>
                <a:ext uri="{63B3BB69-23CF-44E3-9099-C40C66FF867C}">
                  <a14:compatExt spid="_x0000_s334870"/>
                </a:ext>
                <a:ext uri="{FF2B5EF4-FFF2-40B4-BE49-F238E27FC236}">
                  <a16:creationId xmlns:a16="http://schemas.microsoft.com/office/drawing/2014/main" id="{00000000-0008-0000-0000-00001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26</xdr:row>
          <xdr:rowOff>38100</xdr:rowOff>
        </xdr:from>
        <xdr:to>
          <xdr:col>5</xdr:col>
          <xdr:colOff>561975</xdr:colOff>
          <xdr:row>27</xdr:row>
          <xdr:rowOff>38100</xdr:rowOff>
        </xdr:to>
        <xdr:sp macro="" textlink="">
          <xdr:nvSpPr>
            <xdr:cNvPr id="334871" name="onHoldSchmid24" hidden="1">
              <a:extLst>
                <a:ext uri="{63B3BB69-23CF-44E3-9099-C40C66FF867C}">
                  <a14:compatExt spid="_x0000_s334871"/>
                </a:ext>
                <a:ext uri="{FF2B5EF4-FFF2-40B4-BE49-F238E27FC236}">
                  <a16:creationId xmlns:a16="http://schemas.microsoft.com/office/drawing/2014/main" id="{00000000-0008-0000-0000-00001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27</xdr:row>
          <xdr:rowOff>57150</xdr:rowOff>
        </xdr:from>
        <xdr:to>
          <xdr:col>5</xdr:col>
          <xdr:colOff>571500</xdr:colOff>
          <xdr:row>28</xdr:row>
          <xdr:rowOff>57150</xdr:rowOff>
        </xdr:to>
        <xdr:sp macro="" textlink="">
          <xdr:nvSpPr>
            <xdr:cNvPr id="334872" name="CheckBox24" hidden="1">
              <a:extLst>
                <a:ext uri="{63B3BB69-23CF-44E3-9099-C40C66FF867C}">
                  <a14:compatExt spid="_x0000_s334872"/>
                </a:ext>
                <a:ext uri="{FF2B5EF4-FFF2-40B4-BE49-F238E27FC236}">
                  <a16:creationId xmlns:a16="http://schemas.microsoft.com/office/drawing/2014/main" id="{00000000-0008-0000-0000-00001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28</xdr:row>
          <xdr:rowOff>38100</xdr:rowOff>
        </xdr:from>
        <xdr:to>
          <xdr:col>5</xdr:col>
          <xdr:colOff>571500</xdr:colOff>
          <xdr:row>29</xdr:row>
          <xdr:rowOff>38100</xdr:rowOff>
        </xdr:to>
        <xdr:sp macro="" textlink="">
          <xdr:nvSpPr>
            <xdr:cNvPr id="334873" name="onHoldSchmid26" hidden="1">
              <a:extLst>
                <a:ext uri="{63B3BB69-23CF-44E3-9099-C40C66FF867C}">
                  <a14:compatExt spid="_x0000_s334873"/>
                </a:ext>
                <a:ext uri="{FF2B5EF4-FFF2-40B4-BE49-F238E27FC236}">
                  <a16:creationId xmlns:a16="http://schemas.microsoft.com/office/drawing/2014/main" id="{00000000-0008-0000-0000-00001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29</xdr:row>
          <xdr:rowOff>19050</xdr:rowOff>
        </xdr:from>
        <xdr:to>
          <xdr:col>5</xdr:col>
          <xdr:colOff>571500</xdr:colOff>
          <xdr:row>30</xdr:row>
          <xdr:rowOff>19050</xdr:rowOff>
        </xdr:to>
        <xdr:sp macro="" textlink="">
          <xdr:nvSpPr>
            <xdr:cNvPr id="334874" name="onHoldSchmid27" hidden="1">
              <a:extLst>
                <a:ext uri="{63B3BB69-23CF-44E3-9099-C40C66FF867C}">
                  <a14:compatExt spid="_x0000_s334874"/>
                </a:ext>
                <a:ext uri="{FF2B5EF4-FFF2-40B4-BE49-F238E27FC236}">
                  <a16:creationId xmlns:a16="http://schemas.microsoft.com/office/drawing/2014/main" id="{00000000-0008-0000-0000-00001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30</xdr:row>
          <xdr:rowOff>19050</xdr:rowOff>
        </xdr:from>
        <xdr:to>
          <xdr:col>5</xdr:col>
          <xdr:colOff>571500</xdr:colOff>
          <xdr:row>31</xdr:row>
          <xdr:rowOff>19050</xdr:rowOff>
        </xdr:to>
        <xdr:sp macro="" textlink="">
          <xdr:nvSpPr>
            <xdr:cNvPr id="334875" name="onHoldSchmid28" hidden="1">
              <a:extLst>
                <a:ext uri="{63B3BB69-23CF-44E3-9099-C40C66FF867C}">
                  <a14:compatExt spid="_x0000_s334875"/>
                </a:ext>
                <a:ext uri="{FF2B5EF4-FFF2-40B4-BE49-F238E27FC236}">
                  <a16:creationId xmlns:a16="http://schemas.microsoft.com/office/drawing/2014/main" id="{00000000-0008-0000-0000-00001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31</xdr:row>
          <xdr:rowOff>19050</xdr:rowOff>
        </xdr:from>
        <xdr:to>
          <xdr:col>5</xdr:col>
          <xdr:colOff>571500</xdr:colOff>
          <xdr:row>32</xdr:row>
          <xdr:rowOff>19050</xdr:rowOff>
        </xdr:to>
        <xdr:sp macro="" textlink="">
          <xdr:nvSpPr>
            <xdr:cNvPr id="334876" name="onHoldSchmid29" hidden="1">
              <a:extLst>
                <a:ext uri="{63B3BB69-23CF-44E3-9099-C40C66FF867C}">
                  <a14:compatExt spid="_x0000_s334876"/>
                </a:ext>
                <a:ext uri="{FF2B5EF4-FFF2-40B4-BE49-F238E27FC236}">
                  <a16:creationId xmlns:a16="http://schemas.microsoft.com/office/drawing/2014/main" id="{00000000-0008-0000-0000-00001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32</xdr:row>
          <xdr:rowOff>19050</xdr:rowOff>
        </xdr:from>
        <xdr:to>
          <xdr:col>5</xdr:col>
          <xdr:colOff>571500</xdr:colOff>
          <xdr:row>33</xdr:row>
          <xdr:rowOff>19050</xdr:rowOff>
        </xdr:to>
        <xdr:sp macro="" textlink="">
          <xdr:nvSpPr>
            <xdr:cNvPr id="334877" name="onHoldSchmid30" hidden="1">
              <a:extLst>
                <a:ext uri="{63B3BB69-23CF-44E3-9099-C40C66FF867C}">
                  <a14:compatExt spid="_x0000_s334877"/>
                </a:ext>
                <a:ext uri="{FF2B5EF4-FFF2-40B4-BE49-F238E27FC236}">
                  <a16:creationId xmlns:a16="http://schemas.microsoft.com/office/drawing/2014/main" id="{00000000-0008-0000-0000-00001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33</xdr:row>
          <xdr:rowOff>38100</xdr:rowOff>
        </xdr:from>
        <xdr:to>
          <xdr:col>5</xdr:col>
          <xdr:colOff>571500</xdr:colOff>
          <xdr:row>34</xdr:row>
          <xdr:rowOff>38100</xdr:rowOff>
        </xdr:to>
        <xdr:sp macro="" textlink="">
          <xdr:nvSpPr>
            <xdr:cNvPr id="334878" name="onHoldSchmid31" hidden="1">
              <a:extLst>
                <a:ext uri="{63B3BB69-23CF-44E3-9099-C40C66FF867C}">
                  <a14:compatExt spid="_x0000_s334878"/>
                </a:ext>
                <a:ext uri="{FF2B5EF4-FFF2-40B4-BE49-F238E27FC236}">
                  <a16:creationId xmlns:a16="http://schemas.microsoft.com/office/drawing/2014/main" id="{00000000-0008-0000-0000-00001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34</xdr:row>
          <xdr:rowOff>38100</xdr:rowOff>
        </xdr:from>
        <xdr:to>
          <xdr:col>5</xdr:col>
          <xdr:colOff>571500</xdr:colOff>
          <xdr:row>35</xdr:row>
          <xdr:rowOff>38100</xdr:rowOff>
        </xdr:to>
        <xdr:sp macro="" textlink="">
          <xdr:nvSpPr>
            <xdr:cNvPr id="334879" name="onHoldSchmid32" hidden="1">
              <a:extLst>
                <a:ext uri="{63B3BB69-23CF-44E3-9099-C40C66FF867C}">
                  <a14:compatExt spid="_x0000_s334879"/>
                </a:ext>
                <a:ext uri="{FF2B5EF4-FFF2-40B4-BE49-F238E27FC236}">
                  <a16:creationId xmlns:a16="http://schemas.microsoft.com/office/drawing/2014/main" id="{00000000-0008-0000-0000-00001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35</xdr:row>
          <xdr:rowOff>38100</xdr:rowOff>
        </xdr:from>
        <xdr:to>
          <xdr:col>5</xdr:col>
          <xdr:colOff>571500</xdr:colOff>
          <xdr:row>36</xdr:row>
          <xdr:rowOff>38100</xdr:rowOff>
        </xdr:to>
        <xdr:sp macro="" textlink="">
          <xdr:nvSpPr>
            <xdr:cNvPr id="334880" name="onHoldSchmid33" hidden="1">
              <a:extLst>
                <a:ext uri="{63B3BB69-23CF-44E3-9099-C40C66FF867C}">
                  <a14:compatExt spid="_x0000_s334880"/>
                </a:ext>
                <a:ext uri="{FF2B5EF4-FFF2-40B4-BE49-F238E27FC236}">
                  <a16:creationId xmlns:a16="http://schemas.microsoft.com/office/drawing/2014/main" id="{00000000-0008-0000-0000-00002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36</xdr:row>
          <xdr:rowOff>47625</xdr:rowOff>
        </xdr:from>
        <xdr:to>
          <xdr:col>5</xdr:col>
          <xdr:colOff>571500</xdr:colOff>
          <xdr:row>37</xdr:row>
          <xdr:rowOff>47625</xdr:rowOff>
        </xdr:to>
        <xdr:sp macro="" textlink="">
          <xdr:nvSpPr>
            <xdr:cNvPr id="334881" name="onHoldSchmid34" hidden="1">
              <a:extLst>
                <a:ext uri="{63B3BB69-23CF-44E3-9099-C40C66FF867C}">
                  <a14:compatExt spid="_x0000_s334881"/>
                </a:ext>
                <a:ext uri="{FF2B5EF4-FFF2-40B4-BE49-F238E27FC236}">
                  <a16:creationId xmlns:a16="http://schemas.microsoft.com/office/drawing/2014/main" id="{00000000-0008-0000-0000-00002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37</xdr:row>
          <xdr:rowOff>47625</xdr:rowOff>
        </xdr:from>
        <xdr:to>
          <xdr:col>5</xdr:col>
          <xdr:colOff>571500</xdr:colOff>
          <xdr:row>38</xdr:row>
          <xdr:rowOff>47625</xdr:rowOff>
        </xdr:to>
        <xdr:sp macro="" textlink="">
          <xdr:nvSpPr>
            <xdr:cNvPr id="334882" name="onHoldSchmid35" hidden="1">
              <a:extLst>
                <a:ext uri="{63B3BB69-23CF-44E3-9099-C40C66FF867C}">
                  <a14:compatExt spid="_x0000_s334882"/>
                </a:ext>
                <a:ext uri="{FF2B5EF4-FFF2-40B4-BE49-F238E27FC236}">
                  <a16:creationId xmlns:a16="http://schemas.microsoft.com/office/drawing/2014/main" id="{00000000-0008-0000-0000-00002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38</xdr:row>
          <xdr:rowOff>38100</xdr:rowOff>
        </xdr:from>
        <xdr:to>
          <xdr:col>5</xdr:col>
          <xdr:colOff>571500</xdr:colOff>
          <xdr:row>39</xdr:row>
          <xdr:rowOff>38100</xdr:rowOff>
        </xdr:to>
        <xdr:sp macro="" textlink="">
          <xdr:nvSpPr>
            <xdr:cNvPr id="334883" name="onHoldSchmid36" hidden="1">
              <a:extLst>
                <a:ext uri="{63B3BB69-23CF-44E3-9099-C40C66FF867C}">
                  <a14:compatExt spid="_x0000_s334883"/>
                </a:ext>
                <a:ext uri="{FF2B5EF4-FFF2-40B4-BE49-F238E27FC236}">
                  <a16:creationId xmlns:a16="http://schemas.microsoft.com/office/drawing/2014/main" id="{00000000-0008-0000-0000-00002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39</xdr:row>
          <xdr:rowOff>38100</xdr:rowOff>
        </xdr:from>
        <xdr:to>
          <xdr:col>5</xdr:col>
          <xdr:colOff>571500</xdr:colOff>
          <xdr:row>40</xdr:row>
          <xdr:rowOff>38100</xdr:rowOff>
        </xdr:to>
        <xdr:sp macro="" textlink="">
          <xdr:nvSpPr>
            <xdr:cNvPr id="334884" name="onHoldSchmid37" hidden="1">
              <a:extLst>
                <a:ext uri="{63B3BB69-23CF-44E3-9099-C40C66FF867C}">
                  <a14:compatExt spid="_x0000_s334884"/>
                </a:ext>
                <a:ext uri="{FF2B5EF4-FFF2-40B4-BE49-F238E27FC236}">
                  <a16:creationId xmlns:a16="http://schemas.microsoft.com/office/drawing/2014/main" id="{00000000-0008-0000-0000-00002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40</xdr:row>
          <xdr:rowOff>38100</xdr:rowOff>
        </xdr:from>
        <xdr:to>
          <xdr:col>5</xdr:col>
          <xdr:colOff>571500</xdr:colOff>
          <xdr:row>41</xdr:row>
          <xdr:rowOff>38100</xdr:rowOff>
        </xdr:to>
        <xdr:sp macro="" textlink="">
          <xdr:nvSpPr>
            <xdr:cNvPr id="334885" name="onHoldSchmid38" hidden="1">
              <a:extLst>
                <a:ext uri="{63B3BB69-23CF-44E3-9099-C40C66FF867C}">
                  <a14:compatExt spid="_x0000_s334885"/>
                </a:ext>
                <a:ext uri="{FF2B5EF4-FFF2-40B4-BE49-F238E27FC236}">
                  <a16:creationId xmlns:a16="http://schemas.microsoft.com/office/drawing/2014/main" id="{00000000-0008-0000-0000-00002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41</xdr:row>
          <xdr:rowOff>28575</xdr:rowOff>
        </xdr:from>
        <xdr:to>
          <xdr:col>5</xdr:col>
          <xdr:colOff>571500</xdr:colOff>
          <xdr:row>42</xdr:row>
          <xdr:rowOff>28575</xdr:rowOff>
        </xdr:to>
        <xdr:sp macro="" textlink="">
          <xdr:nvSpPr>
            <xdr:cNvPr id="334886" name="onHoldSchmid39" hidden="1">
              <a:extLst>
                <a:ext uri="{63B3BB69-23CF-44E3-9099-C40C66FF867C}">
                  <a14:compatExt spid="_x0000_s334886"/>
                </a:ext>
                <a:ext uri="{FF2B5EF4-FFF2-40B4-BE49-F238E27FC236}">
                  <a16:creationId xmlns:a16="http://schemas.microsoft.com/office/drawing/2014/main" id="{00000000-0008-0000-0000-00002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19050</xdr:rowOff>
        </xdr:from>
        <xdr:to>
          <xdr:col>5</xdr:col>
          <xdr:colOff>571500</xdr:colOff>
          <xdr:row>43</xdr:row>
          <xdr:rowOff>19050</xdr:rowOff>
        </xdr:to>
        <xdr:sp macro="" textlink="">
          <xdr:nvSpPr>
            <xdr:cNvPr id="334887" name="onHoldSchmid40" hidden="1">
              <a:extLst>
                <a:ext uri="{63B3BB69-23CF-44E3-9099-C40C66FF867C}">
                  <a14:compatExt spid="_x0000_s334887"/>
                </a:ext>
                <a:ext uri="{FF2B5EF4-FFF2-40B4-BE49-F238E27FC236}">
                  <a16:creationId xmlns:a16="http://schemas.microsoft.com/office/drawing/2014/main" id="{00000000-0008-0000-0000-00002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43</xdr:row>
          <xdr:rowOff>9525</xdr:rowOff>
        </xdr:from>
        <xdr:to>
          <xdr:col>5</xdr:col>
          <xdr:colOff>571500</xdr:colOff>
          <xdr:row>44</xdr:row>
          <xdr:rowOff>9525</xdr:rowOff>
        </xdr:to>
        <xdr:sp macro="" textlink="">
          <xdr:nvSpPr>
            <xdr:cNvPr id="334888" name="onHoldSchmid41" hidden="1">
              <a:extLst>
                <a:ext uri="{63B3BB69-23CF-44E3-9099-C40C66FF867C}">
                  <a14:compatExt spid="_x0000_s334888"/>
                </a:ext>
                <a:ext uri="{FF2B5EF4-FFF2-40B4-BE49-F238E27FC236}">
                  <a16:creationId xmlns:a16="http://schemas.microsoft.com/office/drawing/2014/main" id="{00000000-0008-0000-0000-00002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44</xdr:row>
          <xdr:rowOff>9525</xdr:rowOff>
        </xdr:from>
        <xdr:to>
          <xdr:col>5</xdr:col>
          <xdr:colOff>571500</xdr:colOff>
          <xdr:row>45</xdr:row>
          <xdr:rowOff>9525</xdr:rowOff>
        </xdr:to>
        <xdr:sp macro="" textlink="">
          <xdr:nvSpPr>
            <xdr:cNvPr id="334889" name="onHoldSchmid42" hidden="1">
              <a:extLst>
                <a:ext uri="{63B3BB69-23CF-44E3-9099-C40C66FF867C}">
                  <a14:compatExt spid="_x0000_s334889"/>
                </a:ext>
                <a:ext uri="{FF2B5EF4-FFF2-40B4-BE49-F238E27FC236}">
                  <a16:creationId xmlns:a16="http://schemas.microsoft.com/office/drawing/2014/main" id="{00000000-0008-0000-0000-00002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45</xdr:row>
          <xdr:rowOff>19050</xdr:rowOff>
        </xdr:from>
        <xdr:to>
          <xdr:col>5</xdr:col>
          <xdr:colOff>571500</xdr:colOff>
          <xdr:row>46</xdr:row>
          <xdr:rowOff>19050</xdr:rowOff>
        </xdr:to>
        <xdr:sp macro="" textlink="">
          <xdr:nvSpPr>
            <xdr:cNvPr id="334890" name="onHoldSchmid43" hidden="1">
              <a:extLst>
                <a:ext uri="{63B3BB69-23CF-44E3-9099-C40C66FF867C}">
                  <a14:compatExt spid="_x0000_s334890"/>
                </a:ext>
                <a:ext uri="{FF2B5EF4-FFF2-40B4-BE49-F238E27FC236}">
                  <a16:creationId xmlns:a16="http://schemas.microsoft.com/office/drawing/2014/main" id="{00000000-0008-0000-0000-00002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46</xdr:row>
          <xdr:rowOff>0</xdr:rowOff>
        </xdr:from>
        <xdr:to>
          <xdr:col>5</xdr:col>
          <xdr:colOff>571500</xdr:colOff>
          <xdr:row>47</xdr:row>
          <xdr:rowOff>0</xdr:rowOff>
        </xdr:to>
        <xdr:sp macro="" textlink="">
          <xdr:nvSpPr>
            <xdr:cNvPr id="334891" name="onHoldSchmid44" hidden="1">
              <a:extLst>
                <a:ext uri="{63B3BB69-23CF-44E3-9099-C40C66FF867C}">
                  <a14:compatExt spid="_x0000_s334891"/>
                </a:ext>
                <a:ext uri="{FF2B5EF4-FFF2-40B4-BE49-F238E27FC236}">
                  <a16:creationId xmlns:a16="http://schemas.microsoft.com/office/drawing/2014/main" id="{00000000-0008-0000-0000-00002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47</xdr:row>
          <xdr:rowOff>9525</xdr:rowOff>
        </xdr:from>
        <xdr:to>
          <xdr:col>5</xdr:col>
          <xdr:colOff>561975</xdr:colOff>
          <xdr:row>48</xdr:row>
          <xdr:rowOff>9525</xdr:rowOff>
        </xdr:to>
        <xdr:sp macro="" textlink="">
          <xdr:nvSpPr>
            <xdr:cNvPr id="334892" name="onHoldSchmid45" hidden="1">
              <a:extLst>
                <a:ext uri="{63B3BB69-23CF-44E3-9099-C40C66FF867C}">
                  <a14:compatExt spid="_x0000_s334892"/>
                </a:ext>
                <a:ext uri="{FF2B5EF4-FFF2-40B4-BE49-F238E27FC236}">
                  <a16:creationId xmlns:a16="http://schemas.microsoft.com/office/drawing/2014/main" id="{00000000-0008-0000-0000-00002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48</xdr:row>
          <xdr:rowOff>0</xdr:rowOff>
        </xdr:from>
        <xdr:to>
          <xdr:col>5</xdr:col>
          <xdr:colOff>552450</xdr:colOff>
          <xdr:row>49</xdr:row>
          <xdr:rowOff>0</xdr:rowOff>
        </xdr:to>
        <xdr:sp macro="" textlink="">
          <xdr:nvSpPr>
            <xdr:cNvPr id="334893" name="onHoldSchmid46" hidden="1">
              <a:extLst>
                <a:ext uri="{63B3BB69-23CF-44E3-9099-C40C66FF867C}">
                  <a14:compatExt spid="_x0000_s334893"/>
                </a:ext>
                <a:ext uri="{FF2B5EF4-FFF2-40B4-BE49-F238E27FC236}">
                  <a16:creationId xmlns:a16="http://schemas.microsoft.com/office/drawing/2014/main" id="{00000000-0008-0000-0000-00002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49</xdr:row>
          <xdr:rowOff>0</xdr:rowOff>
        </xdr:from>
        <xdr:to>
          <xdr:col>5</xdr:col>
          <xdr:colOff>552450</xdr:colOff>
          <xdr:row>50</xdr:row>
          <xdr:rowOff>0</xdr:rowOff>
        </xdr:to>
        <xdr:sp macro="" textlink="">
          <xdr:nvSpPr>
            <xdr:cNvPr id="334894" name="onHoldSchmid47" hidden="1">
              <a:extLst>
                <a:ext uri="{63B3BB69-23CF-44E3-9099-C40C66FF867C}">
                  <a14:compatExt spid="_x0000_s334894"/>
                </a:ext>
                <a:ext uri="{FF2B5EF4-FFF2-40B4-BE49-F238E27FC236}">
                  <a16:creationId xmlns:a16="http://schemas.microsoft.com/office/drawing/2014/main" id="{00000000-0008-0000-0000-00002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50</xdr:row>
          <xdr:rowOff>0</xdr:rowOff>
        </xdr:from>
        <xdr:to>
          <xdr:col>5</xdr:col>
          <xdr:colOff>552450</xdr:colOff>
          <xdr:row>51</xdr:row>
          <xdr:rowOff>0</xdr:rowOff>
        </xdr:to>
        <xdr:sp macro="" textlink="">
          <xdr:nvSpPr>
            <xdr:cNvPr id="334895" name="onHoldSchmid48" hidden="1">
              <a:extLst>
                <a:ext uri="{63B3BB69-23CF-44E3-9099-C40C66FF867C}">
                  <a14:compatExt spid="_x0000_s334895"/>
                </a:ext>
                <a:ext uri="{FF2B5EF4-FFF2-40B4-BE49-F238E27FC236}">
                  <a16:creationId xmlns:a16="http://schemas.microsoft.com/office/drawing/2014/main" id="{00000000-0008-0000-0000-00002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50</xdr:row>
          <xdr:rowOff>171450</xdr:rowOff>
        </xdr:from>
        <xdr:to>
          <xdr:col>5</xdr:col>
          <xdr:colOff>552450</xdr:colOff>
          <xdr:row>51</xdr:row>
          <xdr:rowOff>171450</xdr:rowOff>
        </xdr:to>
        <xdr:sp macro="" textlink="">
          <xdr:nvSpPr>
            <xdr:cNvPr id="334896" name="onHoldSchmid49" hidden="1">
              <a:extLst>
                <a:ext uri="{63B3BB69-23CF-44E3-9099-C40C66FF867C}">
                  <a14:compatExt spid="_x0000_s334896"/>
                </a:ext>
                <a:ext uri="{FF2B5EF4-FFF2-40B4-BE49-F238E27FC236}">
                  <a16:creationId xmlns:a16="http://schemas.microsoft.com/office/drawing/2014/main" id="{00000000-0008-0000-0000-00003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52</xdr:row>
          <xdr:rowOff>9525</xdr:rowOff>
        </xdr:from>
        <xdr:to>
          <xdr:col>5</xdr:col>
          <xdr:colOff>561975</xdr:colOff>
          <xdr:row>53</xdr:row>
          <xdr:rowOff>9525</xdr:rowOff>
        </xdr:to>
        <xdr:sp macro="" textlink="">
          <xdr:nvSpPr>
            <xdr:cNvPr id="334897" name="CheckBox49" hidden="1">
              <a:extLst>
                <a:ext uri="{63B3BB69-23CF-44E3-9099-C40C66FF867C}">
                  <a14:compatExt spid="_x0000_s334897"/>
                </a:ext>
                <a:ext uri="{FF2B5EF4-FFF2-40B4-BE49-F238E27FC236}">
                  <a16:creationId xmlns:a16="http://schemas.microsoft.com/office/drawing/2014/main" id="{00000000-0008-0000-0000-00003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53</xdr:row>
          <xdr:rowOff>0</xdr:rowOff>
        </xdr:from>
        <xdr:to>
          <xdr:col>5</xdr:col>
          <xdr:colOff>561975</xdr:colOff>
          <xdr:row>54</xdr:row>
          <xdr:rowOff>0</xdr:rowOff>
        </xdr:to>
        <xdr:sp macro="" textlink="">
          <xdr:nvSpPr>
            <xdr:cNvPr id="334898" name="onHoldSchmid51" hidden="1">
              <a:extLst>
                <a:ext uri="{63B3BB69-23CF-44E3-9099-C40C66FF867C}">
                  <a14:compatExt spid="_x0000_s334898"/>
                </a:ext>
                <a:ext uri="{FF2B5EF4-FFF2-40B4-BE49-F238E27FC236}">
                  <a16:creationId xmlns:a16="http://schemas.microsoft.com/office/drawing/2014/main" id="{00000000-0008-0000-0000-00003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54</xdr:row>
          <xdr:rowOff>0</xdr:rowOff>
        </xdr:from>
        <xdr:to>
          <xdr:col>5</xdr:col>
          <xdr:colOff>561975</xdr:colOff>
          <xdr:row>55</xdr:row>
          <xdr:rowOff>0</xdr:rowOff>
        </xdr:to>
        <xdr:sp macro="" textlink="">
          <xdr:nvSpPr>
            <xdr:cNvPr id="334899" name="CheckBox51" hidden="1">
              <a:extLst>
                <a:ext uri="{63B3BB69-23CF-44E3-9099-C40C66FF867C}">
                  <a14:compatExt spid="_x0000_s334899"/>
                </a:ext>
                <a:ext uri="{FF2B5EF4-FFF2-40B4-BE49-F238E27FC236}">
                  <a16:creationId xmlns:a16="http://schemas.microsoft.com/office/drawing/2014/main" id="{00000000-0008-0000-0000-00003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55</xdr:row>
          <xdr:rowOff>9525</xdr:rowOff>
        </xdr:from>
        <xdr:to>
          <xdr:col>5</xdr:col>
          <xdr:colOff>561975</xdr:colOff>
          <xdr:row>56</xdr:row>
          <xdr:rowOff>9525</xdr:rowOff>
        </xdr:to>
        <xdr:sp macro="" textlink="">
          <xdr:nvSpPr>
            <xdr:cNvPr id="334900" name="onHoldSchmid53" hidden="1">
              <a:extLst>
                <a:ext uri="{63B3BB69-23CF-44E3-9099-C40C66FF867C}">
                  <a14:compatExt spid="_x0000_s334900"/>
                </a:ext>
                <a:ext uri="{FF2B5EF4-FFF2-40B4-BE49-F238E27FC236}">
                  <a16:creationId xmlns:a16="http://schemas.microsoft.com/office/drawing/2014/main" id="{00000000-0008-0000-0000-00003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56</xdr:row>
          <xdr:rowOff>28575</xdr:rowOff>
        </xdr:from>
        <xdr:to>
          <xdr:col>5</xdr:col>
          <xdr:colOff>561975</xdr:colOff>
          <xdr:row>57</xdr:row>
          <xdr:rowOff>28575</xdr:rowOff>
        </xdr:to>
        <xdr:sp macro="" textlink="">
          <xdr:nvSpPr>
            <xdr:cNvPr id="334901" name="onHoldSchmid54" hidden="1">
              <a:extLst>
                <a:ext uri="{63B3BB69-23CF-44E3-9099-C40C66FF867C}">
                  <a14:compatExt spid="_x0000_s334901"/>
                </a:ext>
                <a:ext uri="{FF2B5EF4-FFF2-40B4-BE49-F238E27FC236}">
                  <a16:creationId xmlns:a16="http://schemas.microsoft.com/office/drawing/2014/main" id="{00000000-0008-0000-0000-00003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3</xdr:row>
          <xdr:rowOff>28575</xdr:rowOff>
        </xdr:from>
        <xdr:to>
          <xdr:col>5</xdr:col>
          <xdr:colOff>514350</xdr:colOff>
          <xdr:row>4</xdr:row>
          <xdr:rowOff>28575</xdr:rowOff>
        </xdr:to>
        <xdr:sp macro="" textlink="">
          <xdr:nvSpPr>
            <xdr:cNvPr id="334902" name="onHoldSchmid1" hidden="1">
              <a:extLst>
                <a:ext uri="{63B3BB69-23CF-44E3-9099-C40C66FF867C}">
                  <a14:compatExt spid="_x0000_s334902"/>
                </a:ext>
                <a:ext uri="{FF2B5EF4-FFF2-40B4-BE49-F238E27FC236}">
                  <a16:creationId xmlns:a16="http://schemas.microsoft.com/office/drawing/2014/main" id="{00000000-0008-0000-0000-00003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4</xdr:row>
          <xdr:rowOff>38100</xdr:rowOff>
        </xdr:from>
        <xdr:to>
          <xdr:col>10</xdr:col>
          <xdr:colOff>514350</xdr:colOff>
          <xdr:row>5</xdr:row>
          <xdr:rowOff>38100</xdr:rowOff>
        </xdr:to>
        <xdr:sp macro="" textlink="">
          <xdr:nvSpPr>
            <xdr:cNvPr id="334903" name="onHoldInda2" hidden="1">
              <a:extLst>
                <a:ext uri="{63B3BB69-23CF-44E3-9099-C40C66FF867C}">
                  <a14:compatExt spid="_x0000_s334903"/>
                </a:ext>
                <a:ext uri="{FF2B5EF4-FFF2-40B4-BE49-F238E27FC236}">
                  <a16:creationId xmlns:a16="http://schemas.microsoft.com/office/drawing/2014/main" id="{00000000-0008-0000-0000-00003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5</xdr:row>
          <xdr:rowOff>257175</xdr:rowOff>
        </xdr:from>
        <xdr:to>
          <xdr:col>10</xdr:col>
          <xdr:colOff>514350</xdr:colOff>
          <xdr:row>6</xdr:row>
          <xdr:rowOff>66675</xdr:rowOff>
        </xdr:to>
        <xdr:sp macro="" textlink="">
          <xdr:nvSpPr>
            <xdr:cNvPr id="334904" name="onHoldInda3" hidden="1">
              <a:extLst>
                <a:ext uri="{63B3BB69-23CF-44E3-9099-C40C66FF867C}">
                  <a14:compatExt spid="_x0000_s334904"/>
                </a:ext>
                <a:ext uri="{FF2B5EF4-FFF2-40B4-BE49-F238E27FC236}">
                  <a16:creationId xmlns:a16="http://schemas.microsoft.com/office/drawing/2014/main" id="{00000000-0008-0000-0000-00003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6</xdr:row>
          <xdr:rowOff>238125</xdr:rowOff>
        </xdr:from>
        <xdr:to>
          <xdr:col>10</xdr:col>
          <xdr:colOff>523875</xdr:colOff>
          <xdr:row>7</xdr:row>
          <xdr:rowOff>47625</xdr:rowOff>
        </xdr:to>
        <xdr:sp macro="" textlink="">
          <xdr:nvSpPr>
            <xdr:cNvPr id="334905" name="onHoldInda4" hidden="1">
              <a:extLst>
                <a:ext uri="{63B3BB69-23CF-44E3-9099-C40C66FF867C}">
                  <a14:compatExt spid="_x0000_s334905"/>
                </a:ext>
                <a:ext uri="{FF2B5EF4-FFF2-40B4-BE49-F238E27FC236}">
                  <a16:creationId xmlns:a16="http://schemas.microsoft.com/office/drawing/2014/main" id="{00000000-0008-0000-0000-00003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7</xdr:row>
          <xdr:rowOff>9525</xdr:rowOff>
        </xdr:from>
        <xdr:to>
          <xdr:col>10</xdr:col>
          <xdr:colOff>523875</xdr:colOff>
          <xdr:row>8</xdr:row>
          <xdr:rowOff>9525</xdr:rowOff>
        </xdr:to>
        <xdr:sp macro="" textlink="">
          <xdr:nvSpPr>
            <xdr:cNvPr id="334906" name="onHoldInda5" hidden="1">
              <a:extLst>
                <a:ext uri="{63B3BB69-23CF-44E3-9099-C40C66FF867C}">
                  <a14:compatExt spid="_x0000_s334906"/>
                </a:ext>
                <a:ext uri="{FF2B5EF4-FFF2-40B4-BE49-F238E27FC236}">
                  <a16:creationId xmlns:a16="http://schemas.microsoft.com/office/drawing/2014/main" id="{00000000-0008-0000-0000-00003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9</xdr:row>
          <xdr:rowOff>9525</xdr:rowOff>
        </xdr:from>
        <xdr:to>
          <xdr:col>10</xdr:col>
          <xdr:colOff>523875</xdr:colOff>
          <xdr:row>10</xdr:row>
          <xdr:rowOff>9525</xdr:rowOff>
        </xdr:to>
        <xdr:sp macro="" textlink="">
          <xdr:nvSpPr>
            <xdr:cNvPr id="334907" name="onHoldInda7" hidden="1">
              <a:extLst>
                <a:ext uri="{63B3BB69-23CF-44E3-9099-C40C66FF867C}">
                  <a14:compatExt spid="_x0000_s334907"/>
                </a:ext>
                <a:ext uri="{FF2B5EF4-FFF2-40B4-BE49-F238E27FC236}">
                  <a16:creationId xmlns:a16="http://schemas.microsoft.com/office/drawing/2014/main" id="{00000000-0008-0000-0000-00003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10</xdr:row>
          <xdr:rowOff>28575</xdr:rowOff>
        </xdr:from>
        <xdr:to>
          <xdr:col>10</xdr:col>
          <xdr:colOff>523875</xdr:colOff>
          <xdr:row>11</xdr:row>
          <xdr:rowOff>28575</xdr:rowOff>
        </xdr:to>
        <xdr:sp macro="" textlink="">
          <xdr:nvSpPr>
            <xdr:cNvPr id="334908" name="onHoldInda8" hidden="1">
              <a:extLst>
                <a:ext uri="{63B3BB69-23CF-44E3-9099-C40C66FF867C}">
                  <a14:compatExt spid="_x0000_s334908"/>
                </a:ext>
                <a:ext uri="{FF2B5EF4-FFF2-40B4-BE49-F238E27FC236}">
                  <a16:creationId xmlns:a16="http://schemas.microsoft.com/office/drawing/2014/main" id="{00000000-0008-0000-0000-00003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12</xdr:row>
          <xdr:rowOff>28575</xdr:rowOff>
        </xdr:from>
        <xdr:to>
          <xdr:col>10</xdr:col>
          <xdr:colOff>523875</xdr:colOff>
          <xdr:row>13</xdr:row>
          <xdr:rowOff>28575</xdr:rowOff>
        </xdr:to>
        <xdr:sp macro="" textlink="">
          <xdr:nvSpPr>
            <xdr:cNvPr id="334909" name="onHoldInda10" hidden="1">
              <a:extLst>
                <a:ext uri="{63B3BB69-23CF-44E3-9099-C40C66FF867C}">
                  <a14:compatExt spid="_x0000_s334909"/>
                </a:ext>
                <a:ext uri="{FF2B5EF4-FFF2-40B4-BE49-F238E27FC236}">
                  <a16:creationId xmlns:a16="http://schemas.microsoft.com/office/drawing/2014/main" id="{00000000-0008-0000-0000-00003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13</xdr:row>
          <xdr:rowOff>0</xdr:rowOff>
        </xdr:from>
        <xdr:to>
          <xdr:col>10</xdr:col>
          <xdr:colOff>523875</xdr:colOff>
          <xdr:row>14</xdr:row>
          <xdr:rowOff>0</xdr:rowOff>
        </xdr:to>
        <xdr:sp macro="" textlink="">
          <xdr:nvSpPr>
            <xdr:cNvPr id="334910" name="onHoldInda11" hidden="1">
              <a:extLst>
                <a:ext uri="{63B3BB69-23CF-44E3-9099-C40C66FF867C}">
                  <a14:compatExt spid="_x0000_s334910"/>
                </a:ext>
                <a:ext uri="{FF2B5EF4-FFF2-40B4-BE49-F238E27FC236}">
                  <a16:creationId xmlns:a16="http://schemas.microsoft.com/office/drawing/2014/main" id="{00000000-0008-0000-0000-00003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11</xdr:row>
          <xdr:rowOff>38100</xdr:rowOff>
        </xdr:from>
        <xdr:to>
          <xdr:col>10</xdr:col>
          <xdr:colOff>523875</xdr:colOff>
          <xdr:row>12</xdr:row>
          <xdr:rowOff>38100</xdr:rowOff>
        </xdr:to>
        <xdr:sp macro="" textlink="">
          <xdr:nvSpPr>
            <xdr:cNvPr id="334911" name="onHoldInda9" hidden="1">
              <a:extLst>
                <a:ext uri="{63B3BB69-23CF-44E3-9099-C40C66FF867C}">
                  <a14:compatExt spid="_x0000_s334911"/>
                </a:ext>
                <a:ext uri="{FF2B5EF4-FFF2-40B4-BE49-F238E27FC236}">
                  <a16:creationId xmlns:a16="http://schemas.microsoft.com/office/drawing/2014/main" id="{00000000-0008-0000-0000-00003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8</xdr:row>
          <xdr:rowOff>0</xdr:rowOff>
        </xdr:from>
        <xdr:to>
          <xdr:col>10</xdr:col>
          <xdr:colOff>523875</xdr:colOff>
          <xdr:row>9</xdr:row>
          <xdr:rowOff>0</xdr:rowOff>
        </xdr:to>
        <xdr:sp macro="" textlink="">
          <xdr:nvSpPr>
            <xdr:cNvPr id="334912" name="onHoldInda6" hidden="1">
              <a:extLst>
                <a:ext uri="{63B3BB69-23CF-44E3-9099-C40C66FF867C}">
                  <a14:compatExt spid="_x0000_s334912"/>
                </a:ext>
                <a:ext uri="{FF2B5EF4-FFF2-40B4-BE49-F238E27FC236}">
                  <a16:creationId xmlns:a16="http://schemas.microsoft.com/office/drawing/2014/main" id="{00000000-0008-0000-0000-00004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14</xdr:row>
          <xdr:rowOff>19050</xdr:rowOff>
        </xdr:from>
        <xdr:to>
          <xdr:col>10</xdr:col>
          <xdr:colOff>533400</xdr:colOff>
          <xdr:row>15</xdr:row>
          <xdr:rowOff>19050</xdr:rowOff>
        </xdr:to>
        <xdr:sp macro="" textlink="">
          <xdr:nvSpPr>
            <xdr:cNvPr id="334913" name="onHoldInda12" hidden="1">
              <a:extLst>
                <a:ext uri="{63B3BB69-23CF-44E3-9099-C40C66FF867C}">
                  <a14:compatExt spid="_x0000_s334913"/>
                </a:ext>
                <a:ext uri="{FF2B5EF4-FFF2-40B4-BE49-F238E27FC236}">
                  <a16:creationId xmlns:a16="http://schemas.microsoft.com/office/drawing/2014/main" id="{00000000-0008-0000-0000-00004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15</xdr:row>
          <xdr:rowOff>28575</xdr:rowOff>
        </xdr:from>
        <xdr:to>
          <xdr:col>10</xdr:col>
          <xdr:colOff>533400</xdr:colOff>
          <xdr:row>16</xdr:row>
          <xdr:rowOff>28575</xdr:rowOff>
        </xdr:to>
        <xdr:sp macro="" textlink="">
          <xdr:nvSpPr>
            <xdr:cNvPr id="334914" name="onHoldInda13" hidden="1">
              <a:extLst>
                <a:ext uri="{63B3BB69-23CF-44E3-9099-C40C66FF867C}">
                  <a14:compatExt spid="_x0000_s334914"/>
                </a:ext>
                <a:ext uri="{FF2B5EF4-FFF2-40B4-BE49-F238E27FC236}">
                  <a16:creationId xmlns:a16="http://schemas.microsoft.com/office/drawing/2014/main" id="{00000000-0008-0000-0000-00004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16</xdr:row>
          <xdr:rowOff>28575</xdr:rowOff>
        </xdr:from>
        <xdr:to>
          <xdr:col>10</xdr:col>
          <xdr:colOff>542925</xdr:colOff>
          <xdr:row>17</xdr:row>
          <xdr:rowOff>28575</xdr:rowOff>
        </xdr:to>
        <xdr:sp macro="" textlink="">
          <xdr:nvSpPr>
            <xdr:cNvPr id="334915" name="onHoldInda14" hidden="1">
              <a:extLst>
                <a:ext uri="{63B3BB69-23CF-44E3-9099-C40C66FF867C}">
                  <a14:compatExt spid="_x0000_s334915"/>
                </a:ext>
                <a:ext uri="{FF2B5EF4-FFF2-40B4-BE49-F238E27FC236}">
                  <a16:creationId xmlns:a16="http://schemas.microsoft.com/office/drawing/2014/main" id="{00000000-0008-0000-0000-00004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17</xdr:row>
          <xdr:rowOff>28575</xdr:rowOff>
        </xdr:from>
        <xdr:to>
          <xdr:col>10</xdr:col>
          <xdr:colOff>542925</xdr:colOff>
          <xdr:row>18</xdr:row>
          <xdr:rowOff>28575</xdr:rowOff>
        </xdr:to>
        <xdr:sp macro="" textlink="">
          <xdr:nvSpPr>
            <xdr:cNvPr id="334916" name="onHoldInda15" hidden="1">
              <a:extLst>
                <a:ext uri="{63B3BB69-23CF-44E3-9099-C40C66FF867C}">
                  <a14:compatExt spid="_x0000_s334916"/>
                </a:ext>
                <a:ext uri="{FF2B5EF4-FFF2-40B4-BE49-F238E27FC236}">
                  <a16:creationId xmlns:a16="http://schemas.microsoft.com/office/drawing/2014/main" id="{00000000-0008-0000-0000-00004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18</xdr:row>
          <xdr:rowOff>38100</xdr:rowOff>
        </xdr:from>
        <xdr:to>
          <xdr:col>10</xdr:col>
          <xdr:colOff>552450</xdr:colOff>
          <xdr:row>19</xdr:row>
          <xdr:rowOff>38100</xdr:rowOff>
        </xdr:to>
        <xdr:sp macro="" textlink="">
          <xdr:nvSpPr>
            <xdr:cNvPr id="334917" name="onHoldInda16" hidden="1">
              <a:extLst>
                <a:ext uri="{63B3BB69-23CF-44E3-9099-C40C66FF867C}">
                  <a14:compatExt spid="_x0000_s334917"/>
                </a:ext>
                <a:ext uri="{FF2B5EF4-FFF2-40B4-BE49-F238E27FC236}">
                  <a16:creationId xmlns:a16="http://schemas.microsoft.com/office/drawing/2014/main" id="{00000000-0008-0000-0000-00004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47625</xdr:rowOff>
        </xdr:from>
        <xdr:to>
          <xdr:col>10</xdr:col>
          <xdr:colOff>552450</xdr:colOff>
          <xdr:row>20</xdr:row>
          <xdr:rowOff>47625</xdr:rowOff>
        </xdr:to>
        <xdr:sp macro="" textlink="">
          <xdr:nvSpPr>
            <xdr:cNvPr id="334918" name="onHoldInda17" hidden="1">
              <a:extLst>
                <a:ext uri="{63B3BB69-23CF-44E3-9099-C40C66FF867C}">
                  <a14:compatExt spid="_x0000_s334918"/>
                </a:ext>
                <a:ext uri="{FF2B5EF4-FFF2-40B4-BE49-F238E27FC236}">
                  <a16:creationId xmlns:a16="http://schemas.microsoft.com/office/drawing/2014/main" id="{00000000-0008-0000-0000-00004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20</xdr:row>
          <xdr:rowOff>38100</xdr:rowOff>
        </xdr:from>
        <xdr:to>
          <xdr:col>10</xdr:col>
          <xdr:colOff>552450</xdr:colOff>
          <xdr:row>21</xdr:row>
          <xdr:rowOff>38100</xdr:rowOff>
        </xdr:to>
        <xdr:sp macro="" textlink="">
          <xdr:nvSpPr>
            <xdr:cNvPr id="334919" name="onHoldInda18" hidden="1">
              <a:extLst>
                <a:ext uri="{63B3BB69-23CF-44E3-9099-C40C66FF867C}">
                  <a14:compatExt spid="_x0000_s334919"/>
                </a:ext>
                <a:ext uri="{FF2B5EF4-FFF2-40B4-BE49-F238E27FC236}">
                  <a16:creationId xmlns:a16="http://schemas.microsoft.com/office/drawing/2014/main" id="{00000000-0008-0000-0000-00004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21</xdr:row>
          <xdr:rowOff>38100</xdr:rowOff>
        </xdr:from>
        <xdr:to>
          <xdr:col>10</xdr:col>
          <xdr:colOff>552450</xdr:colOff>
          <xdr:row>22</xdr:row>
          <xdr:rowOff>38100</xdr:rowOff>
        </xdr:to>
        <xdr:sp macro="" textlink="">
          <xdr:nvSpPr>
            <xdr:cNvPr id="334920" name="onHoldInda19" hidden="1">
              <a:extLst>
                <a:ext uri="{63B3BB69-23CF-44E3-9099-C40C66FF867C}">
                  <a14:compatExt spid="_x0000_s334920"/>
                </a:ext>
                <a:ext uri="{FF2B5EF4-FFF2-40B4-BE49-F238E27FC236}">
                  <a16:creationId xmlns:a16="http://schemas.microsoft.com/office/drawing/2014/main" id="{00000000-0008-0000-0000-00004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22</xdr:row>
          <xdr:rowOff>19050</xdr:rowOff>
        </xdr:from>
        <xdr:to>
          <xdr:col>10</xdr:col>
          <xdr:colOff>552450</xdr:colOff>
          <xdr:row>23</xdr:row>
          <xdr:rowOff>19050</xdr:rowOff>
        </xdr:to>
        <xdr:sp macro="" textlink="">
          <xdr:nvSpPr>
            <xdr:cNvPr id="334921" name="onHoldInda20" hidden="1">
              <a:extLst>
                <a:ext uri="{63B3BB69-23CF-44E3-9099-C40C66FF867C}">
                  <a14:compatExt spid="_x0000_s334921"/>
                </a:ext>
                <a:ext uri="{FF2B5EF4-FFF2-40B4-BE49-F238E27FC236}">
                  <a16:creationId xmlns:a16="http://schemas.microsoft.com/office/drawing/2014/main" id="{00000000-0008-0000-0000-00004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23</xdr:row>
          <xdr:rowOff>28575</xdr:rowOff>
        </xdr:from>
        <xdr:to>
          <xdr:col>10</xdr:col>
          <xdr:colOff>552450</xdr:colOff>
          <xdr:row>24</xdr:row>
          <xdr:rowOff>28575</xdr:rowOff>
        </xdr:to>
        <xdr:sp macro="" textlink="">
          <xdr:nvSpPr>
            <xdr:cNvPr id="334922" name="onHoldInda21" hidden="1">
              <a:extLst>
                <a:ext uri="{63B3BB69-23CF-44E3-9099-C40C66FF867C}">
                  <a14:compatExt spid="_x0000_s334922"/>
                </a:ext>
                <a:ext uri="{FF2B5EF4-FFF2-40B4-BE49-F238E27FC236}">
                  <a16:creationId xmlns:a16="http://schemas.microsoft.com/office/drawing/2014/main" id="{00000000-0008-0000-0000-00004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24</xdr:row>
          <xdr:rowOff>47625</xdr:rowOff>
        </xdr:from>
        <xdr:to>
          <xdr:col>10</xdr:col>
          <xdr:colOff>561975</xdr:colOff>
          <xdr:row>25</xdr:row>
          <xdr:rowOff>47625</xdr:rowOff>
        </xdr:to>
        <xdr:sp macro="" textlink="">
          <xdr:nvSpPr>
            <xdr:cNvPr id="334923" name="onHoldInda22" hidden="1">
              <a:extLst>
                <a:ext uri="{63B3BB69-23CF-44E3-9099-C40C66FF867C}">
                  <a14:compatExt spid="_x0000_s334923"/>
                </a:ext>
                <a:ext uri="{FF2B5EF4-FFF2-40B4-BE49-F238E27FC236}">
                  <a16:creationId xmlns:a16="http://schemas.microsoft.com/office/drawing/2014/main" id="{00000000-0008-0000-0000-00004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25</xdr:row>
          <xdr:rowOff>38100</xdr:rowOff>
        </xdr:from>
        <xdr:to>
          <xdr:col>10</xdr:col>
          <xdr:colOff>552450</xdr:colOff>
          <xdr:row>26</xdr:row>
          <xdr:rowOff>38100</xdr:rowOff>
        </xdr:to>
        <xdr:sp macro="" textlink="">
          <xdr:nvSpPr>
            <xdr:cNvPr id="334924" name="onHoldInda23" hidden="1">
              <a:extLst>
                <a:ext uri="{63B3BB69-23CF-44E3-9099-C40C66FF867C}">
                  <a14:compatExt spid="_x0000_s334924"/>
                </a:ext>
                <a:ext uri="{FF2B5EF4-FFF2-40B4-BE49-F238E27FC236}">
                  <a16:creationId xmlns:a16="http://schemas.microsoft.com/office/drawing/2014/main" id="{00000000-0008-0000-0000-00004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26</xdr:row>
          <xdr:rowOff>38100</xdr:rowOff>
        </xdr:from>
        <xdr:to>
          <xdr:col>10</xdr:col>
          <xdr:colOff>561975</xdr:colOff>
          <xdr:row>27</xdr:row>
          <xdr:rowOff>38100</xdr:rowOff>
        </xdr:to>
        <xdr:sp macro="" textlink="">
          <xdr:nvSpPr>
            <xdr:cNvPr id="334925" name="onHoldInda24" hidden="1">
              <a:extLst>
                <a:ext uri="{63B3BB69-23CF-44E3-9099-C40C66FF867C}">
                  <a14:compatExt spid="_x0000_s334925"/>
                </a:ext>
                <a:ext uri="{FF2B5EF4-FFF2-40B4-BE49-F238E27FC236}">
                  <a16:creationId xmlns:a16="http://schemas.microsoft.com/office/drawing/2014/main" id="{00000000-0008-0000-0000-00004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27</xdr:row>
          <xdr:rowOff>57150</xdr:rowOff>
        </xdr:from>
        <xdr:to>
          <xdr:col>10</xdr:col>
          <xdr:colOff>571500</xdr:colOff>
          <xdr:row>28</xdr:row>
          <xdr:rowOff>57150</xdr:rowOff>
        </xdr:to>
        <xdr:sp macro="" textlink="">
          <xdr:nvSpPr>
            <xdr:cNvPr id="334926" name="onHoldInda25" hidden="1">
              <a:extLst>
                <a:ext uri="{63B3BB69-23CF-44E3-9099-C40C66FF867C}">
                  <a14:compatExt spid="_x0000_s334926"/>
                </a:ext>
                <a:ext uri="{FF2B5EF4-FFF2-40B4-BE49-F238E27FC236}">
                  <a16:creationId xmlns:a16="http://schemas.microsoft.com/office/drawing/2014/main" id="{00000000-0008-0000-0000-00004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28</xdr:row>
          <xdr:rowOff>38100</xdr:rowOff>
        </xdr:from>
        <xdr:to>
          <xdr:col>10</xdr:col>
          <xdr:colOff>571500</xdr:colOff>
          <xdr:row>29</xdr:row>
          <xdr:rowOff>38100</xdr:rowOff>
        </xdr:to>
        <xdr:sp macro="" textlink="">
          <xdr:nvSpPr>
            <xdr:cNvPr id="334927" name="onHoldInda26" hidden="1">
              <a:extLst>
                <a:ext uri="{63B3BB69-23CF-44E3-9099-C40C66FF867C}">
                  <a14:compatExt spid="_x0000_s334927"/>
                </a:ext>
                <a:ext uri="{FF2B5EF4-FFF2-40B4-BE49-F238E27FC236}">
                  <a16:creationId xmlns:a16="http://schemas.microsoft.com/office/drawing/2014/main" id="{00000000-0008-0000-0000-00004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29</xdr:row>
          <xdr:rowOff>19050</xdr:rowOff>
        </xdr:from>
        <xdr:to>
          <xdr:col>10</xdr:col>
          <xdr:colOff>571500</xdr:colOff>
          <xdr:row>30</xdr:row>
          <xdr:rowOff>19050</xdr:rowOff>
        </xdr:to>
        <xdr:sp macro="" textlink="">
          <xdr:nvSpPr>
            <xdr:cNvPr id="334928" name="onHoldInda27" hidden="1">
              <a:extLst>
                <a:ext uri="{63B3BB69-23CF-44E3-9099-C40C66FF867C}">
                  <a14:compatExt spid="_x0000_s334928"/>
                </a:ext>
                <a:ext uri="{FF2B5EF4-FFF2-40B4-BE49-F238E27FC236}">
                  <a16:creationId xmlns:a16="http://schemas.microsoft.com/office/drawing/2014/main" id="{00000000-0008-0000-0000-00005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30</xdr:row>
          <xdr:rowOff>19050</xdr:rowOff>
        </xdr:from>
        <xdr:to>
          <xdr:col>10</xdr:col>
          <xdr:colOff>571500</xdr:colOff>
          <xdr:row>31</xdr:row>
          <xdr:rowOff>19050</xdr:rowOff>
        </xdr:to>
        <xdr:sp macro="" textlink="">
          <xdr:nvSpPr>
            <xdr:cNvPr id="334929" name="onHoldInda28" hidden="1">
              <a:extLst>
                <a:ext uri="{63B3BB69-23CF-44E3-9099-C40C66FF867C}">
                  <a14:compatExt spid="_x0000_s334929"/>
                </a:ext>
                <a:ext uri="{FF2B5EF4-FFF2-40B4-BE49-F238E27FC236}">
                  <a16:creationId xmlns:a16="http://schemas.microsoft.com/office/drawing/2014/main" id="{00000000-0008-0000-0000-00005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31</xdr:row>
          <xdr:rowOff>19050</xdr:rowOff>
        </xdr:from>
        <xdr:to>
          <xdr:col>10</xdr:col>
          <xdr:colOff>571500</xdr:colOff>
          <xdr:row>32</xdr:row>
          <xdr:rowOff>19050</xdr:rowOff>
        </xdr:to>
        <xdr:sp macro="" textlink="">
          <xdr:nvSpPr>
            <xdr:cNvPr id="334930" name="onHoldInda29" hidden="1">
              <a:extLst>
                <a:ext uri="{63B3BB69-23CF-44E3-9099-C40C66FF867C}">
                  <a14:compatExt spid="_x0000_s334930"/>
                </a:ext>
                <a:ext uri="{FF2B5EF4-FFF2-40B4-BE49-F238E27FC236}">
                  <a16:creationId xmlns:a16="http://schemas.microsoft.com/office/drawing/2014/main" id="{00000000-0008-0000-0000-00005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32</xdr:row>
          <xdr:rowOff>19050</xdr:rowOff>
        </xdr:from>
        <xdr:to>
          <xdr:col>10</xdr:col>
          <xdr:colOff>571500</xdr:colOff>
          <xdr:row>33</xdr:row>
          <xdr:rowOff>19050</xdr:rowOff>
        </xdr:to>
        <xdr:sp macro="" textlink="">
          <xdr:nvSpPr>
            <xdr:cNvPr id="334931" name="onHoldInda30" hidden="1">
              <a:extLst>
                <a:ext uri="{63B3BB69-23CF-44E3-9099-C40C66FF867C}">
                  <a14:compatExt spid="_x0000_s334931"/>
                </a:ext>
                <a:ext uri="{FF2B5EF4-FFF2-40B4-BE49-F238E27FC236}">
                  <a16:creationId xmlns:a16="http://schemas.microsoft.com/office/drawing/2014/main" id="{00000000-0008-0000-0000-00005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33</xdr:row>
          <xdr:rowOff>38100</xdr:rowOff>
        </xdr:from>
        <xdr:to>
          <xdr:col>10</xdr:col>
          <xdr:colOff>571500</xdr:colOff>
          <xdr:row>34</xdr:row>
          <xdr:rowOff>38100</xdr:rowOff>
        </xdr:to>
        <xdr:sp macro="" textlink="">
          <xdr:nvSpPr>
            <xdr:cNvPr id="334932" name="onHoldInda31" hidden="1">
              <a:extLst>
                <a:ext uri="{63B3BB69-23CF-44E3-9099-C40C66FF867C}">
                  <a14:compatExt spid="_x0000_s334932"/>
                </a:ext>
                <a:ext uri="{FF2B5EF4-FFF2-40B4-BE49-F238E27FC236}">
                  <a16:creationId xmlns:a16="http://schemas.microsoft.com/office/drawing/2014/main" id="{00000000-0008-0000-0000-00005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34</xdr:row>
          <xdr:rowOff>38100</xdr:rowOff>
        </xdr:from>
        <xdr:to>
          <xdr:col>10</xdr:col>
          <xdr:colOff>571500</xdr:colOff>
          <xdr:row>35</xdr:row>
          <xdr:rowOff>38100</xdr:rowOff>
        </xdr:to>
        <xdr:sp macro="" textlink="">
          <xdr:nvSpPr>
            <xdr:cNvPr id="334933" name="onHoldInda32" hidden="1">
              <a:extLst>
                <a:ext uri="{63B3BB69-23CF-44E3-9099-C40C66FF867C}">
                  <a14:compatExt spid="_x0000_s334933"/>
                </a:ext>
                <a:ext uri="{FF2B5EF4-FFF2-40B4-BE49-F238E27FC236}">
                  <a16:creationId xmlns:a16="http://schemas.microsoft.com/office/drawing/2014/main" id="{00000000-0008-0000-0000-00005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35</xdr:row>
          <xdr:rowOff>38100</xdr:rowOff>
        </xdr:from>
        <xdr:to>
          <xdr:col>10</xdr:col>
          <xdr:colOff>571500</xdr:colOff>
          <xdr:row>36</xdr:row>
          <xdr:rowOff>38100</xdr:rowOff>
        </xdr:to>
        <xdr:sp macro="" textlink="">
          <xdr:nvSpPr>
            <xdr:cNvPr id="334934" name="onHoldInda33" hidden="1">
              <a:extLst>
                <a:ext uri="{63B3BB69-23CF-44E3-9099-C40C66FF867C}">
                  <a14:compatExt spid="_x0000_s334934"/>
                </a:ext>
                <a:ext uri="{FF2B5EF4-FFF2-40B4-BE49-F238E27FC236}">
                  <a16:creationId xmlns:a16="http://schemas.microsoft.com/office/drawing/2014/main" id="{00000000-0008-0000-0000-00005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36</xdr:row>
          <xdr:rowOff>47625</xdr:rowOff>
        </xdr:from>
        <xdr:to>
          <xdr:col>10</xdr:col>
          <xdr:colOff>571500</xdr:colOff>
          <xdr:row>37</xdr:row>
          <xdr:rowOff>47625</xdr:rowOff>
        </xdr:to>
        <xdr:sp macro="" textlink="">
          <xdr:nvSpPr>
            <xdr:cNvPr id="334935" name="onHoldInda34" hidden="1">
              <a:extLst>
                <a:ext uri="{63B3BB69-23CF-44E3-9099-C40C66FF867C}">
                  <a14:compatExt spid="_x0000_s334935"/>
                </a:ext>
                <a:ext uri="{FF2B5EF4-FFF2-40B4-BE49-F238E27FC236}">
                  <a16:creationId xmlns:a16="http://schemas.microsoft.com/office/drawing/2014/main" id="{00000000-0008-0000-0000-00005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37</xdr:row>
          <xdr:rowOff>47625</xdr:rowOff>
        </xdr:from>
        <xdr:to>
          <xdr:col>10</xdr:col>
          <xdr:colOff>571500</xdr:colOff>
          <xdr:row>38</xdr:row>
          <xdr:rowOff>47625</xdr:rowOff>
        </xdr:to>
        <xdr:sp macro="" textlink="">
          <xdr:nvSpPr>
            <xdr:cNvPr id="334936" name="onHoldInda35" hidden="1">
              <a:extLst>
                <a:ext uri="{63B3BB69-23CF-44E3-9099-C40C66FF867C}">
                  <a14:compatExt spid="_x0000_s334936"/>
                </a:ext>
                <a:ext uri="{FF2B5EF4-FFF2-40B4-BE49-F238E27FC236}">
                  <a16:creationId xmlns:a16="http://schemas.microsoft.com/office/drawing/2014/main" id="{00000000-0008-0000-0000-00005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38</xdr:row>
          <xdr:rowOff>38100</xdr:rowOff>
        </xdr:from>
        <xdr:to>
          <xdr:col>10</xdr:col>
          <xdr:colOff>571500</xdr:colOff>
          <xdr:row>39</xdr:row>
          <xdr:rowOff>38100</xdr:rowOff>
        </xdr:to>
        <xdr:sp macro="" textlink="">
          <xdr:nvSpPr>
            <xdr:cNvPr id="334937" name="onHoldInda36" hidden="1">
              <a:extLst>
                <a:ext uri="{63B3BB69-23CF-44E3-9099-C40C66FF867C}">
                  <a14:compatExt spid="_x0000_s334937"/>
                </a:ext>
                <a:ext uri="{FF2B5EF4-FFF2-40B4-BE49-F238E27FC236}">
                  <a16:creationId xmlns:a16="http://schemas.microsoft.com/office/drawing/2014/main" id="{00000000-0008-0000-0000-00005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39</xdr:row>
          <xdr:rowOff>38100</xdr:rowOff>
        </xdr:from>
        <xdr:to>
          <xdr:col>10</xdr:col>
          <xdr:colOff>571500</xdr:colOff>
          <xdr:row>40</xdr:row>
          <xdr:rowOff>38100</xdr:rowOff>
        </xdr:to>
        <xdr:sp macro="" textlink="">
          <xdr:nvSpPr>
            <xdr:cNvPr id="334938" name="onHoldInda37" hidden="1">
              <a:extLst>
                <a:ext uri="{63B3BB69-23CF-44E3-9099-C40C66FF867C}">
                  <a14:compatExt spid="_x0000_s334938"/>
                </a:ext>
                <a:ext uri="{FF2B5EF4-FFF2-40B4-BE49-F238E27FC236}">
                  <a16:creationId xmlns:a16="http://schemas.microsoft.com/office/drawing/2014/main" id="{00000000-0008-0000-0000-00005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40</xdr:row>
          <xdr:rowOff>38100</xdr:rowOff>
        </xdr:from>
        <xdr:to>
          <xdr:col>10</xdr:col>
          <xdr:colOff>571500</xdr:colOff>
          <xdr:row>41</xdr:row>
          <xdr:rowOff>38100</xdr:rowOff>
        </xdr:to>
        <xdr:sp macro="" textlink="">
          <xdr:nvSpPr>
            <xdr:cNvPr id="334939" name="onHoldInda38" hidden="1">
              <a:extLst>
                <a:ext uri="{63B3BB69-23CF-44E3-9099-C40C66FF867C}">
                  <a14:compatExt spid="_x0000_s334939"/>
                </a:ext>
                <a:ext uri="{FF2B5EF4-FFF2-40B4-BE49-F238E27FC236}">
                  <a16:creationId xmlns:a16="http://schemas.microsoft.com/office/drawing/2014/main" id="{00000000-0008-0000-0000-00005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41</xdr:row>
          <xdr:rowOff>28575</xdr:rowOff>
        </xdr:from>
        <xdr:to>
          <xdr:col>10</xdr:col>
          <xdr:colOff>571500</xdr:colOff>
          <xdr:row>42</xdr:row>
          <xdr:rowOff>28575</xdr:rowOff>
        </xdr:to>
        <xdr:sp macro="" textlink="">
          <xdr:nvSpPr>
            <xdr:cNvPr id="334940" name="onHoldInda39" hidden="1">
              <a:extLst>
                <a:ext uri="{63B3BB69-23CF-44E3-9099-C40C66FF867C}">
                  <a14:compatExt spid="_x0000_s334940"/>
                </a:ext>
                <a:ext uri="{FF2B5EF4-FFF2-40B4-BE49-F238E27FC236}">
                  <a16:creationId xmlns:a16="http://schemas.microsoft.com/office/drawing/2014/main" id="{00000000-0008-0000-0000-00005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42</xdr:row>
          <xdr:rowOff>19050</xdr:rowOff>
        </xdr:from>
        <xdr:to>
          <xdr:col>10</xdr:col>
          <xdr:colOff>571500</xdr:colOff>
          <xdr:row>43</xdr:row>
          <xdr:rowOff>19050</xdr:rowOff>
        </xdr:to>
        <xdr:sp macro="" textlink="">
          <xdr:nvSpPr>
            <xdr:cNvPr id="334941" name="onHoldInda40" hidden="1">
              <a:extLst>
                <a:ext uri="{63B3BB69-23CF-44E3-9099-C40C66FF867C}">
                  <a14:compatExt spid="_x0000_s334941"/>
                </a:ext>
                <a:ext uri="{FF2B5EF4-FFF2-40B4-BE49-F238E27FC236}">
                  <a16:creationId xmlns:a16="http://schemas.microsoft.com/office/drawing/2014/main" id="{00000000-0008-0000-0000-00005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43</xdr:row>
          <xdr:rowOff>9525</xdr:rowOff>
        </xdr:from>
        <xdr:to>
          <xdr:col>10</xdr:col>
          <xdr:colOff>571500</xdr:colOff>
          <xdr:row>44</xdr:row>
          <xdr:rowOff>9525</xdr:rowOff>
        </xdr:to>
        <xdr:sp macro="" textlink="">
          <xdr:nvSpPr>
            <xdr:cNvPr id="334942" name="onHoldInda41" hidden="1">
              <a:extLst>
                <a:ext uri="{63B3BB69-23CF-44E3-9099-C40C66FF867C}">
                  <a14:compatExt spid="_x0000_s334942"/>
                </a:ext>
                <a:ext uri="{FF2B5EF4-FFF2-40B4-BE49-F238E27FC236}">
                  <a16:creationId xmlns:a16="http://schemas.microsoft.com/office/drawing/2014/main" id="{00000000-0008-0000-0000-00005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44</xdr:row>
          <xdr:rowOff>9525</xdr:rowOff>
        </xdr:from>
        <xdr:to>
          <xdr:col>10</xdr:col>
          <xdr:colOff>571500</xdr:colOff>
          <xdr:row>45</xdr:row>
          <xdr:rowOff>9525</xdr:rowOff>
        </xdr:to>
        <xdr:sp macro="" textlink="">
          <xdr:nvSpPr>
            <xdr:cNvPr id="334943" name="onHoldInda42" hidden="1">
              <a:extLst>
                <a:ext uri="{63B3BB69-23CF-44E3-9099-C40C66FF867C}">
                  <a14:compatExt spid="_x0000_s334943"/>
                </a:ext>
                <a:ext uri="{FF2B5EF4-FFF2-40B4-BE49-F238E27FC236}">
                  <a16:creationId xmlns:a16="http://schemas.microsoft.com/office/drawing/2014/main" id="{00000000-0008-0000-0000-00005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45</xdr:row>
          <xdr:rowOff>19050</xdr:rowOff>
        </xdr:from>
        <xdr:to>
          <xdr:col>10</xdr:col>
          <xdr:colOff>571500</xdr:colOff>
          <xdr:row>46</xdr:row>
          <xdr:rowOff>19050</xdr:rowOff>
        </xdr:to>
        <xdr:sp macro="" textlink="">
          <xdr:nvSpPr>
            <xdr:cNvPr id="334944" name="onHoldInda43" hidden="1">
              <a:extLst>
                <a:ext uri="{63B3BB69-23CF-44E3-9099-C40C66FF867C}">
                  <a14:compatExt spid="_x0000_s334944"/>
                </a:ext>
                <a:ext uri="{FF2B5EF4-FFF2-40B4-BE49-F238E27FC236}">
                  <a16:creationId xmlns:a16="http://schemas.microsoft.com/office/drawing/2014/main" id="{00000000-0008-0000-0000-00006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46</xdr:row>
          <xdr:rowOff>0</xdr:rowOff>
        </xdr:from>
        <xdr:to>
          <xdr:col>10</xdr:col>
          <xdr:colOff>571500</xdr:colOff>
          <xdr:row>47</xdr:row>
          <xdr:rowOff>0</xdr:rowOff>
        </xdr:to>
        <xdr:sp macro="" textlink="">
          <xdr:nvSpPr>
            <xdr:cNvPr id="334945" name="onHoldInda44" hidden="1">
              <a:extLst>
                <a:ext uri="{63B3BB69-23CF-44E3-9099-C40C66FF867C}">
                  <a14:compatExt spid="_x0000_s334945"/>
                </a:ext>
                <a:ext uri="{FF2B5EF4-FFF2-40B4-BE49-F238E27FC236}">
                  <a16:creationId xmlns:a16="http://schemas.microsoft.com/office/drawing/2014/main" id="{00000000-0008-0000-0000-00006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47</xdr:row>
          <xdr:rowOff>9525</xdr:rowOff>
        </xdr:from>
        <xdr:to>
          <xdr:col>10</xdr:col>
          <xdr:colOff>561975</xdr:colOff>
          <xdr:row>48</xdr:row>
          <xdr:rowOff>9525</xdr:rowOff>
        </xdr:to>
        <xdr:sp macro="" textlink="">
          <xdr:nvSpPr>
            <xdr:cNvPr id="334946" name="onHoldInda45" hidden="1">
              <a:extLst>
                <a:ext uri="{63B3BB69-23CF-44E3-9099-C40C66FF867C}">
                  <a14:compatExt spid="_x0000_s334946"/>
                </a:ext>
                <a:ext uri="{FF2B5EF4-FFF2-40B4-BE49-F238E27FC236}">
                  <a16:creationId xmlns:a16="http://schemas.microsoft.com/office/drawing/2014/main" id="{00000000-0008-0000-0000-00006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48</xdr:row>
          <xdr:rowOff>0</xdr:rowOff>
        </xdr:from>
        <xdr:to>
          <xdr:col>10</xdr:col>
          <xdr:colOff>552450</xdr:colOff>
          <xdr:row>49</xdr:row>
          <xdr:rowOff>0</xdr:rowOff>
        </xdr:to>
        <xdr:sp macro="" textlink="">
          <xdr:nvSpPr>
            <xdr:cNvPr id="334947" name="onHoldInda46" hidden="1">
              <a:extLst>
                <a:ext uri="{63B3BB69-23CF-44E3-9099-C40C66FF867C}">
                  <a14:compatExt spid="_x0000_s334947"/>
                </a:ext>
                <a:ext uri="{FF2B5EF4-FFF2-40B4-BE49-F238E27FC236}">
                  <a16:creationId xmlns:a16="http://schemas.microsoft.com/office/drawing/2014/main" id="{00000000-0008-0000-0000-00006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49</xdr:row>
          <xdr:rowOff>0</xdr:rowOff>
        </xdr:from>
        <xdr:to>
          <xdr:col>10</xdr:col>
          <xdr:colOff>552450</xdr:colOff>
          <xdr:row>50</xdr:row>
          <xdr:rowOff>0</xdr:rowOff>
        </xdr:to>
        <xdr:sp macro="" textlink="">
          <xdr:nvSpPr>
            <xdr:cNvPr id="334948" name="onHoldInda47" hidden="1">
              <a:extLst>
                <a:ext uri="{63B3BB69-23CF-44E3-9099-C40C66FF867C}">
                  <a14:compatExt spid="_x0000_s334948"/>
                </a:ext>
                <a:ext uri="{FF2B5EF4-FFF2-40B4-BE49-F238E27FC236}">
                  <a16:creationId xmlns:a16="http://schemas.microsoft.com/office/drawing/2014/main" id="{00000000-0008-0000-0000-00006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50</xdr:row>
          <xdr:rowOff>0</xdr:rowOff>
        </xdr:from>
        <xdr:to>
          <xdr:col>10</xdr:col>
          <xdr:colOff>552450</xdr:colOff>
          <xdr:row>51</xdr:row>
          <xdr:rowOff>0</xdr:rowOff>
        </xdr:to>
        <xdr:sp macro="" textlink="">
          <xdr:nvSpPr>
            <xdr:cNvPr id="334949" name="onHoldInda48" hidden="1">
              <a:extLst>
                <a:ext uri="{63B3BB69-23CF-44E3-9099-C40C66FF867C}">
                  <a14:compatExt spid="_x0000_s334949"/>
                </a:ext>
                <a:ext uri="{FF2B5EF4-FFF2-40B4-BE49-F238E27FC236}">
                  <a16:creationId xmlns:a16="http://schemas.microsoft.com/office/drawing/2014/main" id="{00000000-0008-0000-0000-00006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50</xdr:row>
          <xdr:rowOff>171450</xdr:rowOff>
        </xdr:from>
        <xdr:to>
          <xdr:col>10</xdr:col>
          <xdr:colOff>552450</xdr:colOff>
          <xdr:row>51</xdr:row>
          <xdr:rowOff>171450</xdr:rowOff>
        </xdr:to>
        <xdr:sp macro="" textlink="">
          <xdr:nvSpPr>
            <xdr:cNvPr id="334950" name="onHoldInda49" hidden="1">
              <a:extLst>
                <a:ext uri="{63B3BB69-23CF-44E3-9099-C40C66FF867C}">
                  <a14:compatExt spid="_x0000_s334950"/>
                </a:ext>
                <a:ext uri="{FF2B5EF4-FFF2-40B4-BE49-F238E27FC236}">
                  <a16:creationId xmlns:a16="http://schemas.microsoft.com/office/drawing/2014/main" id="{00000000-0008-0000-0000-00006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52</xdr:row>
          <xdr:rowOff>9525</xdr:rowOff>
        </xdr:from>
        <xdr:to>
          <xdr:col>10</xdr:col>
          <xdr:colOff>561975</xdr:colOff>
          <xdr:row>53</xdr:row>
          <xdr:rowOff>9525</xdr:rowOff>
        </xdr:to>
        <xdr:sp macro="" textlink="">
          <xdr:nvSpPr>
            <xdr:cNvPr id="334951" name="onHoldInda50" hidden="1">
              <a:extLst>
                <a:ext uri="{63B3BB69-23CF-44E3-9099-C40C66FF867C}">
                  <a14:compatExt spid="_x0000_s334951"/>
                </a:ext>
                <a:ext uri="{FF2B5EF4-FFF2-40B4-BE49-F238E27FC236}">
                  <a16:creationId xmlns:a16="http://schemas.microsoft.com/office/drawing/2014/main" id="{00000000-0008-0000-0000-00006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53</xdr:row>
          <xdr:rowOff>0</xdr:rowOff>
        </xdr:from>
        <xdr:to>
          <xdr:col>10</xdr:col>
          <xdr:colOff>561975</xdr:colOff>
          <xdr:row>54</xdr:row>
          <xdr:rowOff>0</xdr:rowOff>
        </xdr:to>
        <xdr:sp macro="" textlink="">
          <xdr:nvSpPr>
            <xdr:cNvPr id="334952" name="onHoldInda51" hidden="1">
              <a:extLst>
                <a:ext uri="{63B3BB69-23CF-44E3-9099-C40C66FF867C}">
                  <a14:compatExt spid="_x0000_s334952"/>
                </a:ext>
                <a:ext uri="{FF2B5EF4-FFF2-40B4-BE49-F238E27FC236}">
                  <a16:creationId xmlns:a16="http://schemas.microsoft.com/office/drawing/2014/main" id="{00000000-0008-0000-0000-00006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54</xdr:row>
          <xdr:rowOff>0</xdr:rowOff>
        </xdr:from>
        <xdr:to>
          <xdr:col>10</xdr:col>
          <xdr:colOff>561975</xdr:colOff>
          <xdr:row>55</xdr:row>
          <xdr:rowOff>0</xdr:rowOff>
        </xdr:to>
        <xdr:sp macro="" textlink="">
          <xdr:nvSpPr>
            <xdr:cNvPr id="334953" name="onHoldInda52" hidden="1">
              <a:extLst>
                <a:ext uri="{63B3BB69-23CF-44E3-9099-C40C66FF867C}">
                  <a14:compatExt spid="_x0000_s334953"/>
                </a:ext>
                <a:ext uri="{FF2B5EF4-FFF2-40B4-BE49-F238E27FC236}">
                  <a16:creationId xmlns:a16="http://schemas.microsoft.com/office/drawing/2014/main" id="{00000000-0008-0000-0000-00006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55</xdr:row>
          <xdr:rowOff>9525</xdr:rowOff>
        </xdr:from>
        <xdr:to>
          <xdr:col>10</xdr:col>
          <xdr:colOff>561975</xdr:colOff>
          <xdr:row>56</xdr:row>
          <xdr:rowOff>9525</xdr:rowOff>
        </xdr:to>
        <xdr:sp macro="" textlink="">
          <xdr:nvSpPr>
            <xdr:cNvPr id="334954" name="onHoldInda53" hidden="1">
              <a:extLst>
                <a:ext uri="{63B3BB69-23CF-44E3-9099-C40C66FF867C}">
                  <a14:compatExt spid="_x0000_s334954"/>
                </a:ext>
                <a:ext uri="{FF2B5EF4-FFF2-40B4-BE49-F238E27FC236}">
                  <a16:creationId xmlns:a16="http://schemas.microsoft.com/office/drawing/2014/main" id="{00000000-0008-0000-0000-00006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56</xdr:row>
          <xdr:rowOff>28575</xdr:rowOff>
        </xdr:from>
        <xdr:to>
          <xdr:col>10</xdr:col>
          <xdr:colOff>561975</xdr:colOff>
          <xdr:row>57</xdr:row>
          <xdr:rowOff>28575</xdr:rowOff>
        </xdr:to>
        <xdr:sp macro="" textlink="">
          <xdr:nvSpPr>
            <xdr:cNvPr id="334955" name="onHoldInda54" hidden="1">
              <a:extLst>
                <a:ext uri="{63B3BB69-23CF-44E3-9099-C40C66FF867C}">
                  <a14:compatExt spid="_x0000_s334955"/>
                </a:ext>
                <a:ext uri="{FF2B5EF4-FFF2-40B4-BE49-F238E27FC236}">
                  <a16:creationId xmlns:a16="http://schemas.microsoft.com/office/drawing/2014/main" id="{00000000-0008-0000-0000-00006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3</xdr:row>
          <xdr:rowOff>28575</xdr:rowOff>
        </xdr:from>
        <xdr:to>
          <xdr:col>10</xdr:col>
          <xdr:colOff>514350</xdr:colOff>
          <xdr:row>4</xdr:row>
          <xdr:rowOff>28575</xdr:rowOff>
        </xdr:to>
        <xdr:sp macro="" textlink="">
          <xdr:nvSpPr>
            <xdr:cNvPr id="334956" name="onHoldInda1" hidden="1">
              <a:extLst>
                <a:ext uri="{63B3BB69-23CF-44E3-9099-C40C66FF867C}">
                  <a14:compatExt spid="_x0000_s334956"/>
                </a:ext>
                <a:ext uri="{FF2B5EF4-FFF2-40B4-BE49-F238E27FC236}">
                  <a16:creationId xmlns:a16="http://schemas.microsoft.com/office/drawing/2014/main" id="{00000000-0008-0000-0000-00006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4</xdr:row>
          <xdr:rowOff>38100</xdr:rowOff>
        </xdr:from>
        <xdr:to>
          <xdr:col>15</xdr:col>
          <xdr:colOff>514350</xdr:colOff>
          <xdr:row>5</xdr:row>
          <xdr:rowOff>38100</xdr:rowOff>
        </xdr:to>
        <xdr:sp macro="" textlink="">
          <xdr:nvSpPr>
            <xdr:cNvPr id="334957" name="onHoldEst2" hidden="1">
              <a:extLst>
                <a:ext uri="{63B3BB69-23CF-44E3-9099-C40C66FF867C}">
                  <a14:compatExt spid="_x0000_s334957"/>
                </a:ext>
                <a:ext uri="{FF2B5EF4-FFF2-40B4-BE49-F238E27FC236}">
                  <a16:creationId xmlns:a16="http://schemas.microsoft.com/office/drawing/2014/main" id="{00000000-0008-0000-0000-00006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5</xdr:row>
          <xdr:rowOff>257175</xdr:rowOff>
        </xdr:from>
        <xdr:to>
          <xdr:col>15</xdr:col>
          <xdr:colOff>514350</xdr:colOff>
          <xdr:row>6</xdr:row>
          <xdr:rowOff>66675</xdr:rowOff>
        </xdr:to>
        <xdr:sp macro="" textlink="">
          <xdr:nvSpPr>
            <xdr:cNvPr id="334958" name="onHoldEst3" hidden="1">
              <a:extLst>
                <a:ext uri="{63B3BB69-23CF-44E3-9099-C40C66FF867C}">
                  <a14:compatExt spid="_x0000_s334958"/>
                </a:ext>
                <a:ext uri="{FF2B5EF4-FFF2-40B4-BE49-F238E27FC236}">
                  <a16:creationId xmlns:a16="http://schemas.microsoft.com/office/drawing/2014/main" id="{00000000-0008-0000-0000-00006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6</xdr:row>
          <xdr:rowOff>238125</xdr:rowOff>
        </xdr:from>
        <xdr:to>
          <xdr:col>15</xdr:col>
          <xdr:colOff>523875</xdr:colOff>
          <xdr:row>7</xdr:row>
          <xdr:rowOff>47625</xdr:rowOff>
        </xdr:to>
        <xdr:sp macro="" textlink="">
          <xdr:nvSpPr>
            <xdr:cNvPr id="334959" name="onHoldEst4" hidden="1">
              <a:extLst>
                <a:ext uri="{63B3BB69-23CF-44E3-9099-C40C66FF867C}">
                  <a14:compatExt spid="_x0000_s334959"/>
                </a:ext>
                <a:ext uri="{FF2B5EF4-FFF2-40B4-BE49-F238E27FC236}">
                  <a16:creationId xmlns:a16="http://schemas.microsoft.com/office/drawing/2014/main" id="{00000000-0008-0000-0000-00006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7</xdr:row>
          <xdr:rowOff>9525</xdr:rowOff>
        </xdr:from>
        <xdr:to>
          <xdr:col>15</xdr:col>
          <xdr:colOff>523875</xdr:colOff>
          <xdr:row>8</xdr:row>
          <xdr:rowOff>9525</xdr:rowOff>
        </xdr:to>
        <xdr:sp macro="" textlink="">
          <xdr:nvSpPr>
            <xdr:cNvPr id="334960" name="onHoldEst5" hidden="1">
              <a:extLst>
                <a:ext uri="{63B3BB69-23CF-44E3-9099-C40C66FF867C}">
                  <a14:compatExt spid="_x0000_s334960"/>
                </a:ext>
                <a:ext uri="{FF2B5EF4-FFF2-40B4-BE49-F238E27FC236}">
                  <a16:creationId xmlns:a16="http://schemas.microsoft.com/office/drawing/2014/main" id="{00000000-0008-0000-0000-00007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9</xdr:row>
          <xdr:rowOff>9525</xdr:rowOff>
        </xdr:from>
        <xdr:to>
          <xdr:col>15</xdr:col>
          <xdr:colOff>523875</xdr:colOff>
          <xdr:row>10</xdr:row>
          <xdr:rowOff>9525</xdr:rowOff>
        </xdr:to>
        <xdr:sp macro="" textlink="">
          <xdr:nvSpPr>
            <xdr:cNvPr id="334961" name="onHoldEst7" hidden="1">
              <a:extLst>
                <a:ext uri="{63B3BB69-23CF-44E3-9099-C40C66FF867C}">
                  <a14:compatExt spid="_x0000_s334961"/>
                </a:ext>
                <a:ext uri="{FF2B5EF4-FFF2-40B4-BE49-F238E27FC236}">
                  <a16:creationId xmlns:a16="http://schemas.microsoft.com/office/drawing/2014/main" id="{00000000-0008-0000-0000-00007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10</xdr:row>
          <xdr:rowOff>28575</xdr:rowOff>
        </xdr:from>
        <xdr:to>
          <xdr:col>15</xdr:col>
          <xdr:colOff>523875</xdr:colOff>
          <xdr:row>11</xdr:row>
          <xdr:rowOff>28575</xdr:rowOff>
        </xdr:to>
        <xdr:sp macro="" textlink="">
          <xdr:nvSpPr>
            <xdr:cNvPr id="334962" name="onHoldEst8" hidden="1">
              <a:extLst>
                <a:ext uri="{63B3BB69-23CF-44E3-9099-C40C66FF867C}">
                  <a14:compatExt spid="_x0000_s334962"/>
                </a:ext>
                <a:ext uri="{FF2B5EF4-FFF2-40B4-BE49-F238E27FC236}">
                  <a16:creationId xmlns:a16="http://schemas.microsoft.com/office/drawing/2014/main" id="{00000000-0008-0000-0000-00007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12</xdr:row>
          <xdr:rowOff>28575</xdr:rowOff>
        </xdr:from>
        <xdr:to>
          <xdr:col>15</xdr:col>
          <xdr:colOff>523875</xdr:colOff>
          <xdr:row>13</xdr:row>
          <xdr:rowOff>28575</xdr:rowOff>
        </xdr:to>
        <xdr:sp macro="" textlink="">
          <xdr:nvSpPr>
            <xdr:cNvPr id="334963" name="onHoldEst10" hidden="1">
              <a:extLst>
                <a:ext uri="{63B3BB69-23CF-44E3-9099-C40C66FF867C}">
                  <a14:compatExt spid="_x0000_s334963"/>
                </a:ext>
                <a:ext uri="{FF2B5EF4-FFF2-40B4-BE49-F238E27FC236}">
                  <a16:creationId xmlns:a16="http://schemas.microsoft.com/office/drawing/2014/main" id="{00000000-0008-0000-0000-00007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13</xdr:row>
          <xdr:rowOff>0</xdr:rowOff>
        </xdr:from>
        <xdr:to>
          <xdr:col>15</xdr:col>
          <xdr:colOff>523875</xdr:colOff>
          <xdr:row>14</xdr:row>
          <xdr:rowOff>0</xdr:rowOff>
        </xdr:to>
        <xdr:sp macro="" textlink="">
          <xdr:nvSpPr>
            <xdr:cNvPr id="334964" name="onHoldEst11" hidden="1">
              <a:extLst>
                <a:ext uri="{63B3BB69-23CF-44E3-9099-C40C66FF867C}">
                  <a14:compatExt spid="_x0000_s334964"/>
                </a:ext>
                <a:ext uri="{FF2B5EF4-FFF2-40B4-BE49-F238E27FC236}">
                  <a16:creationId xmlns:a16="http://schemas.microsoft.com/office/drawing/2014/main" id="{00000000-0008-0000-0000-00007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11</xdr:row>
          <xdr:rowOff>38100</xdr:rowOff>
        </xdr:from>
        <xdr:to>
          <xdr:col>15</xdr:col>
          <xdr:colOff>523875</xdr:colOff>
          <xdr:row>12</xdr:row>
          <xdr:rowOff>38100</xdr:rowOff>
        </xdr:to>
        <xdr:sp macro="" textlink="">
          <xdr:nvSpPr>
            <xdr:cNvPr id="334965" name="onHoldEst9" hidden="1">
              <a:extLst>
                <a:ext uri="{63B3BB69-23CF-44E3-9099-C40C66FF867C}">
                  <a14:compatExt spid="_x0000_s334965"/>
                </a:ext>
                <a:ext uri="{FF2B5EF4-FFF2-40B4-BE49-F238E27FC236}">
                  <a16:creationId xmlns:a16="http://schemas.microsoft.com/office/drawing/2014/main" id="{00000000-0008-0000-0000-00007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8</xdr:row>
          <xdr:rowOff>0</xdr:rowOff>
        </xdr:from>
        <xdr:to>
          <xdr:col>15</xdr:col>
          <xdr:colOff>523875</xdr:colOff>
          <xdr:row>9</xdr:row>
          <xdr:rowOff>0</xdr:rowOff>
        </xdr:to>
        <xdr:sp macro="" textlink="">
          <xdr:nvSpPr>
            <xdr:cNvPr id="334966" name="onHoldEst6" hidden="1">
              <a:extLst>
                <a:ext uri="{63B3BB69-23CF-44E3-9099-C40C66FF867C}">
                  <a14:compatExt spid="_x0000_s334966"/>
                </a:ext>
                <a:ext uri="{FF2B5EF4-FFF2-40B4-BE49-F238E27FC236}">
                  <a16:creationId xmlns:a16="http://schemas.microsoft.com/office/drawing/2014/main" id="{00000000-0008-0000-0000-00007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14</xdr:row>
          <xdr:rowOff>19050</xdr:rowOff>
        </xdr:from>
        <xdr:to>
          <xdr:col>15</xdr:col>
          <xdr:colOff>533400</xdr:colOff>
          <xdr:row>15</xdr:row>
          <xdr:rowOff>19050</xdr:rowOff>
        </xdr:to>
        <xdr:sp macro="" textlink="">
          <xdr:nvSpPr>
            <xdr:cNvPr id="334967" name="onHoldEst12" hidden="1">
              <a:extLst>
                <a:ext uri="{63B3BB69-23CF-44E3-9099-C40C66FF867C}">
                  <a14:compatExt spid="_x0000_s334967"/>
                </a:ext>
                <a:ext uri="{FF2B5EF4-FFF2-40B4-BE49-F238E27FC236}">
                  <a16:creationId xmlns:a16="http://schemas.microsoft.com/office/drawing/2014/main" id="{00000000-0008-0000-0000-00007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15</xdr:row>
          <xdr:rowOff>28575</xdr:rowOff>
        </xdr:from>
        <xdr:to>
          <xdr:col>15</xdr:col>
          <xdr:colOff>533400</xdr:colOff>
          <xdr:row>16</xdr:row>
          <xdr:rowOff>28575</xdr:rowOff>
        </xdr:to>
        <xdr:sp macro="" textlink="">
          <xdr:nvSpPr>
            <xdr:cNvPr id="334968" name="onHoldEst13" hidden="1">
              <a:extLst>
                <a:ext uri="{63B3BB69-23CF-44E3-9099-C40C66FF867C}">
                  <a14:compatExt spid="_x0000_s334968"/>
                </a:ext>
                <a:ext uri="{FF2B5EF4-FFF2-40B4-BE49-F238E27FC236}">
                  <a16:creationId xmlns:a16="http://schemas.microsoft.com/office/drawing/2014/main" id="{00000000-0008-0000-0000-00007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16</xdr:row>
          <xdr:rowOff>28575</xdr:rowOff>
        </xdr:from>
        <xdr:to>
          <xdr:col>15</xdr:col>
          <xdr:colOff>542925</xdr:colOff>
          <xdr:row>17</xdr:row>
          <xdr:rowOff>28575</xdr:rowOff>
        </xdr:to>
        <xdr:sp macro="" textlink="">
          <xdr:nvSpPr>
            <xdr:cNvPr id="334969" name="onHoldEst14" hidden="1">
              <a:extLst>
                <a:ext uri="{63B3BB69-23CF-44E3-9099-C40C66FF867C}">
                  <a14:compatExt spid="_x0000_s334969"/>
                </a:ext>
                <a:ext uri="{FF2B5EF4-FFF2-40B4-BE49-F238E27FC236}">
                  <a16:creationId xmlns:a16="http://schemas.microsoft.com/office/drawing/2014/main" id="{00000000-0008-0000-0000-00007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17</xdr:row>
          <xdr:rowOff>28575</xdr:rowOff>
        </xdr:from>
        <xdr:to>
          <xdr:col>15</xdr:col>
          <xdr:colOff>542925</xdr:colOff>
          <xdr:row>18</xdr:row>
          <xdr:rowOff>28575</xdr:rowOff>
        </xdr:to>
        <xdr:sp macro="" textlink="">
          <xdr:nvSpPr>
            <xdr:cNvPr id="334970" name="onHoldEst15" hidden="1">
              <a:extLst>
                <a:ext uri="{63B3BB69-23CF-44E3-9099-C40C66FF867C}">
                  <a14:compatExt spid="_x0000_s334970"/>
                </a:ext>
                <a:ext uri="{FF2B5EF4-FFF2-40B4-BE49-F238E27FC236}">
                  <a16:creationId xmlns:a16="http://schemas.microsoft.com/office/drawing/2014/main" id="{00000000-0008-0000-0000-00007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18</xdr:row>
          <xdr:rowOff>38100</xdr:rowOff>
        </xdr:from>
        <xdr:to>
          <xdr:col>15</xdr:col>
          <xdr:colOff>552450</xdr:colOff>
          <xdr:row>19</xdr:row>
          <xdr:rowOff>38100</xdr:rowOff>
        </xdr:to>
        <xdr:sp macro="" textlink="">
          <xdr:nvSpPr>
            <xdr:cNvPr id="334971" name="onHoldEst16" hidden="1">
              <a:extLst>
                <a:ext uri="{63B3BB69-23CF-44E3-9099-C40C66FF867C}">
                  <a14:compatExt spid="_x0000_s334971"/>
                </a:ext>
                <a:ext uri="{FF2B5EF4-FFF2-40B4-BE49-F238E27FC236}">
                  <a16:creationId xmlns:a16="http://schemas.microsoft.com/office/drawing/2014/main" id="{00000000-0008-0000-0000-00007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19</xdr:row>
          <xdr:rowOff>47625</xdr:rowOff>
        </xdr:from>
        <xdr:to>
          <xdr:col>15</xdr:col>
          <xdr:colOff>552450</xdr:colOff>
          <xdr:row>20</xdr:row>
          <xdr:rowOff>47625</xdr:rowOff>
        </xdr:to>
        <xdr:sp macro="" textlink="">
          <xdr:nvSpPr>
            <xdr:cNvPr id="334972" name="onHoldEst17" hidden="1">
              <a:extLst>
                <a:ext uri="{63B3BB69-23CF-44E3-9099-C40C66FF867C}">
                  <a14:compatExt spid="_x0000_s334972"/>
                </a:ext>
                <a:ext uri="{FF2B5EF4-FFF2-40B4-BE49-F238E27FC236}">
                  <a16:creationId xmlns:a16="http://schemas.microsoft.com/office/drawing/2014/main" id="{00000000-0008-0000-0000-00007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20</xdr:row>
          <xdr:rowOff>38100</xdr:rowOff>
        </xdr:from>
        <xdr:to>
          <xdr:col>15</xdr:col>
          <xdr:colOff>552450</xdr:colOff>
          <xdr:row>21</xdr:row>
          <xdr:rowOff>38100</xdr:rowOff>
        </xdr:to>
        <xdr:sp macro="" textlink="">
          <xdr:nvSpPr>
            <xdr:cNvPr id="334973" name="onHoldEst18" hidden="1">
              <a:extLst>
                <a:ext uri="{63B3BB69-23CF-44E3-9099-C40C66FF867C}">
                  <a14:compatExt spid="_x0000_s334973"/>
                </a:ext>
                <a:ext uri="{FF2B5EF4-FFF2-40B4-BE49-F238E27FC236}">
                  <a16:creationId xmlns:a16="http://schemas.microsoft.com/office/drawing/2014/main" id="{00000000-0008-0000-0000-00007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21</xdr:row>
          <xdr:rowOff>38100</xdr:rowOff>
        </xdr:from>
        <xdr:to>
          <xdr:col>15</xdr:col>
          <xdr:colOff>552450</xdr:colOff>
          <xdr:row>22</xdr:row>
          <xdr:rowOff>38100</xdr:rowOff>
        </xdr:to>
        <xdr:sp macro="" textlink="">
          <xdr:nvSpPr>
            <xdr:cNvPr id="334974" name="onHoldEst19" hidden="1">
              <a:extLst>
                <a:ext uri="{63B3BB69-23CF-44E3-9099-C40C66FF867C}">
                  <a14:compatExt spid="_x0000_s334974"/>
                </a:ext>
                <a:ext uri="{FF2B5EF4-FFF2-40B4-BE49-F238E27FC236}">
                  <a16:creationId xmlns:a16="http://schemas.microsoft.com/office/drawing/2014/main" id="{00000000-0008-0000-0000-00007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22</xdr:row>
          <xdr:rowOff>19050</xdr:rowOff>
        </xdr:from>
        <xdr:to>
          <xdr:col>15</xdr:col>
          <xdr:colOff>552450</xdr:colOff>
          <xdr:row>23</xdr:row>
          <xdr:rowOff>19050</xdr:rowOff>
        </xdr:to>
        <xdr:sp macro="" textlink="">
          <xdr:nvSpPr>
            <xdr:cNvPr id="334975" name="onHoldEst20" hidden="1">
              <a:extLst>
                <a:ext uri="{63B3BB69-23CF-44E3-9099-C40C66FF867C}">
                  <a14:compatExt spid="_x0000_s334975"/>
                </a:ext>
                <a:ext uri="{FF2B5EF4-FFF2-40B4-BE49-F238E27FC236}">
                  <a16:creationId xmlns:a16="http://schemas.microsoft.com/office/drawing/2014/main" id="{00000000-0008-0000-0000-00007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23</xdr:row>
          <xdr:rowOff>28575</xdr:rowOff>
        </xdr:from>
        <xdr:to>
          <xdr:col>15</xdr:col>
          <xdr:colOff>552450</xdr:colOff>
          <xdr:row>24</xdr:row>
          <xdr:rowOff>28575</xdr:rowOff>
        </xdr:to>
        <xdr:sp macro="" textlink="">
          <xdr:nvSpPr>
            <xdr:cNvPr id="334976" name="onHoldEst21" hidden="1">
              <a:extLst>
                <a:ext uri="{63B3BB69-23CF-44E3-9099-C40C66FF867C}">
                  <a14:compatExt spid="_x0000_s334976"/>
                </a:ext>
                <a:ext uri="{FF2B5EF4-FFF2-40B4-BE49-F238E27FC236}">
                  <a16:creationId xmlns:a16="http://schemas.microsoft.com/office/drawing/2014/main" id="{00000000-0008-0000-0000-00008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24</xdr:row>
          <xdr:rowOff>47625</xdr:rowOff>
        </xdr:from>
        <xdr:to>
          <xdr:col>15</xdr:col>
          <xdr:colOff>561975</xdr:colOff>
          <xdr:row>25</xdr:row>
          <xdr:rowOff>47625</xdr:rowOff>
        </xdr:to>
        <xdr:sp macro="" textlink="">
          <xdr:nvSpPr>
            <xdr:cNvPr id="334977" name="onHoldEst22" hidden="1">
              <a:extLst>
                <a:ext uri="{63B3BB69-23CF-44E3-9099-C40C66FF867C}">
                  <a14:compatExt spid="_x0000_s334977"/>
                </a:ext>
                <a:ext uri="{FF2B5EF4-FFF2-40B4-BE49-F238E27FC236}">
                  <a16:creationId xmlns:a16="http://schemas.microsoft.com/office/drawing/2014/main" id="{00000000-0008-0000-0000-00008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25</xdr:row>
          <xdr:rowOff>47625</xdr:rowOff>
        </xdr:from>
        <xdr:to>
          <xdr:col>15</xdr:col>
          <xdr:colOff>561975</xdr:colOff>
          <xdr:row>26</xdr:row>
          <xdr:rowOff>47625</xdr:rowOff>
        </xdr:to>
        <xdr:sp macro="" textlink="">
          <xdr:nvSpPr>
            <xdr:cNvPr id="334978" name="onHoldEst23" hidden="1">
              <a:extLst>
                <a:ext uri="{63B3BB69-23CF-44E3-9099-C40C66FF867C}">
                  <a14:compatExt spid="_x0000_s334978"/>
                </a:ext>
                <a:ext uri="{FF2B5EF4-FFF2-40B4-BE49-F238E27FC236}">
                  <a16:creationId xmlns:a16="http://schemas.microsoft.com/office/drawing/2014/main" id="{00000000-0008-0000-0000-00008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26</xdr:row>
          <xdr:rowOff>38100</xdr:rowOff>
        </xdr:from>
        <xdr:to>
          <xdr:col>15</xdr:col>
          <xdr:colOff>561975</xdr:colOff>
          <xdr:row>27</xdr:row>
          <xdr:rowOff>38100</xdr:rowOff>
        </xdr:to>
        <xdr:sp macro="" textlink="">
          <xdr:nvSpPr>
            <xdr:cNvPr id="334979" name="onHoldEst24" hidden="1">
              <a:extLst>
                <a:ext uri="{63B3BB69-23CF-44E3-9099-C40C66FF867C}">
                  <a14:compatExt spid="_x0000_s334979"/>
                </a:ext>
                <a:ext uri="{FF2B5EF4-FFF2-40B4-BE49-F238E27FC236}">
                  <a16:creationId xmlns:a16="http://schemas.microsoft.com/office/drawing/2014/main" id="{00000000-0008-0000-0000-00008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27</xdr:row>
          <xdr:rowOff>57150</xdr:rowOff>
        </xdr:from>
        <xdr:to>
          <xdr:col>15</xdr:col>
          <xdr:colOff>571500</xdr:colOff>
          <xdr:row>28</xdr:row>
          <xdr:rowOff>57150</xdr:rowOff>
        </xdr:to>
        <xdr:sp macro="" textlink="">
          <xdr:nvSpPr>
            <xdr:cNvPr id="334980" name="onHoldEst25" hidden="1">
              <a:extLst>
                <a:ext uri="{63B3BB69-23CF-44E3-9099-C40C66FF867C}">
                  <a14:compatExt spid="_x0000_s334980"/>
                </a:ext>
                <a:ext uri="{FF2B5EF4-FFF2-40B4-BE49-F238E27FC236}">
                  <a16:creationId xmlns:a16="http://schemas.microsoft.com/office/drawing/2014/main" id="{00000000-0008-0000-0000-00008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28</xdr:row>
          <xdr:rowOff>38100</xdr:rowOff>
        </xdr:from>
        <xdr:to>
          <xdr:col>15</xdr:col>
          <xdr:colOff>571500</xdr:colOff>
          <xdr:row>29</xdr:row>
          <xdr:rowOff>38100</xdr:rowOff>
        </xdr:to>
        <xdr:sp macro="" textlink="">
          <xdr:nvSpPr>
            <xdr:cNvPr id="334981" name="onHoldEst26" hidden="1">
              <a:extLst>
                <a:ext uri="{63B3BB69-23CF-44E3-9099-C40C66FF867C}">
                  <a14:compatExt spid="_x0000_s334981"/>
                </a:ext>
                <a:ext uri="{FF2B5EF4-FFF2-40B4-BE49-F238E27FC236}">
                  <a16:creationId xmlns:a16="http://schemas.microsoft.com/office/drawing/2014/main" id="{00000000-0008-0000-0000-00008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29</xdr:row>
          <xdr:rowOff>19050</xdr:rowOff>
        </xdr:from>
        <xdr:to>
          <xdr:col>15</xdr:col>
          <xdr:colOff>571500</xdr:colOff>
          <xdr:row>30</xdr:row>
          <xdr:rowOff>19050</xdr:rowOff>
        </xdr:to>
        <xdr:sp macro="" textlink="">
          <xdr:nvSpPr>
            <xdr:cNvPr id="334982" name="onHoldEst27" hidden="1">
              <a:extLst>
                <a:ext uri="{63B3BB69-23CF-44E3-9099-C40C66FF867C}">
                  <a14:compatExt spid="_x0000_s334982"/>
                </a:ext>
                <a:ext uri="{FF2B5EF4-FFF2-40B4-BE49-F238E27FC236}">
                  <a16:creationId xmlns:a16="http://schemas.microsoft.com/office/drawing/2014/main" id="{00000000-0008-0000-0000-00008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30</xdr:row>
          <xdr:rowOff>19050</xdr:rowOff>
        </xdr:from>
        <xdr:to>
          <xdr:col>15</xdr:col>
          <xdr:colOff>571500</xdr:colOff>
          <xdr:row>31</xdr:row>
          <xdr:rowOff>19050</xdr:rowOff>
        </xdr:to>
        <xdr:sp macro="" textlink="">
          <xdr:nvSpPr>
            <xdr:cNvPr id="334983" name="onHoldEst28" hidden="1">
              <a:extLst>
                <a:ext uri="{63B3BB69-23CF-44E3-9099-C40C66FF867C}">
                  <a14:compatExt spid="_x0000_s334983"/>
                </a:ext>
                <a:ext uri="{FF2B5EF4-FFF2-40B4-BE49-F238E27FC236}">
                  <a16:creationId xmlns:a16="http://schemas.microsoft.com/office/drawing/2014/main" id="{00000000-0008-0000-0000-00008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31</xdr:row>
          <xdr:rowOff>19050</xdr:rowOff>
        </xdr:from>
        <xdr:to>
          <xdr:col>15</xdr:col>
          <xdr:colOff>571500</xdr:colOff>
          <xdr:row>32</xdr:row>
          <xdr:rowOff>19050</xdr:rowOff>
        </xdr:to>
        <xdr:sp macro="" textlink="">
          <xdr:nvSpPr>
            <xdr:cNvPr id="334984" name="onHoldEst29" hidden="1">
              <a:extLst>
                <a:ext uri="{63B3BB69-23CF-44E3-9099-C40C66FF867C}">
                  <a14:compatExt spid="_x0000_s334984"/>
                </a:ext>
                <a:ext uri="{FF2B5EF4-FFF2-40B4-BE49-F238E27FC236}">
                  <a16:creationId xmlns:a16="http://schemas.microsoft.com/office/drawing/2014/main" id="{00000000-0008-0000-0000-00008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32</xdr:row>
          <xdr:rowOff>19050</xdr:rowOff>
        </xdr:from>
        <xdr:to>
          <xdr:col>15</xdr:col>
          <xdr:colOff>571500</xdr:colOff>
          <xdr:row>33</xdr:row>
          <xdr:rowOff>19050</xdr:rowOff>
        </xdr:to>
        <xdr:sp macro="" textlink="">
          <xdr:nvSpPr>
            <xdr:cNvPr id="334985" name="onHoldEst30" hidden="1">
              <a:extLst>
                <a:ext uri="{63B3BB69-23CF-44E3-9099-C40C66FF867C}">
                  <a14:compatExt spid="_x0000_s334985"/>
                </a:ext>
                <a:ext uri="{FF2B5EF4-FFF2-40B4-BE49-F238E27FC236}">
                  <a16:creationId xmlns:a16="http://schemas.microsoft.com/office/drawing/2014/main" id="{00000000-0008-0000-0000-00008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33</xdr:row>
          <xdr:rowOff>38100</xdr:rowOff>
        </xdr:from>
        <xdr:to>
          <xdr:col>15</xdr:col>
          <xdr:colOff>571500</xdr:colOff>
          <xdr:row>34</xdr:row>
          <xdr:rowOff>38100</xdr:rowOff>
        </xdr:to>
        <xdr:sp macro="" textlink="">
          <xdr:nvSpPr>
            <xdr:cNvPr id="334986" name="onHoldEst31" hidden="1">
              <a:extLst>
                <a:ext uri="{63B3BB69-23CF-44E3-9099-C40C66FF867C}">
                  <a14:compatExt spid="_x0000_s334986"/>
                </a:ext>
                <a:ext uri="{FF2B5EF4-FFF2-40B4-BE49-F238E27FC236}">
                  <a16:creationId xmlns:a16="http://schemas.microsoft.com/office/drawing/2014/main" id="{00000000-0008-0000-0000-00008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34</xdr:row>
          <xdr:rowOff>38100</xdr:rowOff>
        </xdr:from>
        <xdr:to>
          <xdr:col>15</xdr:col>
          <xdr:colOff>571500</xdr:colOff>
          <xdr:row>35</xdr:row>
          <xdr:rowOff>38100</xdr:rowOff>
        </xdr:to>
        <xdr:sp macro="" textlink="">
          <xdr:nvSpPr>
            <xdr:cNvPr id="334987" name="CheckBox91" hidden="1">
              <a:extLst>
                <a:ext uri="{63B3BB69-23CF-44E3-9099-C40C66FF867C}">
                  <a14:compatExt spid="_x0000_s334987"/>
                </a:ext>
                <a:ext uri="{FF2B5EF4-FFF2-40B4-BE49-F238E27FC236}">
                  <a16:creationId xmlns:a16="http://schemas.microsoft.com/office/drawing/2014/main" id="{00000000-0008-0000-0000-00008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35</xdr:row>
          <xdr:rowOff>38100</xdr:rowOff>
        </xdr:from>
        <xdr:to>
          <xdr:col>15</xdr:col>
          <xdr:colOff>571500</xdr:colOff>
          <xdr:row>36</xdr:row>
          <xdr:rowOff>38100</xdr:rowOff>
        </xdr:to>
        <xdr:sp macro="" textlink="">
          <xdr:nvSpPr>
            <xdr:cNvPr id="334988" name="onHoldEst33" hidden="1">
              <a:extLst>
                <a:ext uri="{63B3BB69-23CF-44E3-9099-C40C66FF867C}">
                  <a14:compatExt spid="_x0000_s334988"/>
                </a:ext>
                <a:ext uri="{FF2B5EF4-FFF2-40B4-BE49-F238E27FC236}">
                  <a16:creationId xmlns:a16="http://schemas.microsoft.com/office/drawing/2014/main" id="{00000000-0008-0000-0000-00008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36</xdr:row>
          <xdr:rowOff>19050</xdr:rowOff>
        </xdr:from>
        <xdr:to>
          <xdr:col>15</xdr:col>
          <xdr:colOff>571500</xdr:colOff>
          <xdr:row>37</xdr:row>
          <xdr:rowOff>19050</xdr:rowOff>
        </xdr:to>
        <xdr:sp macro="" textlink="">
          <xdr:nvSpPr>
            <xdr:cNvPr id="334989" name="onHoldEst34" hidden="1">
              <a:extLst>
                <a:ext uri="{63B3BB69-23CF-44E3-9099-C40C66FF867C}">
                  <a14:compatExt spid="_x0000_s334989"/>
                </a:ext>
                <a:ext uri="{FF2B5EF4-FFF2-40B4-BE49-F238E27FC236}">
                  <a16:creationId xmlns:a16="http://schemas.microsoft.com/office/drawing/2014/main" id="{00000000-0008-0000-0000-00008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37</xdr:row>
          <xdr:rowOff>28575</xdr:rowOff>
        </xdr:from>
        <xdr:to>
          <xdr:col>15</xdr:col>
          <xdr:colOff>571500</xdr:colOff>
          <xdr:row>38</xdr:row>
          <xdr:rowOff>28575</xdr:rowOff>
        </xdr:to>
        <xdr:sp macro="" textlink="">
          <xdr:nvSpPr>
            <xdr:cNvPr id="334990" name="onHoldEst35" hidden="1">
              <a:extLst>
                <a:ext uri="{63B3BB69-23CF-44E3-9099-C40C66FF867C}">
                  <a14:compatExt spid="_x0000_s334990"/>
                </a:ext>
                <a:ext uri="{FF2B5EF4-FFF2-40B4-BE49-F238E27FC236}">
                  <a16:creationId xmlns:a16="http://schemas.microsoft.com/office/drawing/2014/main" id="{00000000-0008-0000-0000-00008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38</xdr:row>
          <xdr:rowOff>38100</xdr:rowOff>
        </xdr:from>
        <xdr:to>
          <xdr:col>15</xdr:col>
          <xdr:colOff>571500</xdr:colOff>
          <xdr:row>39</xdr:row>
          <xdr:rowOff>38100</xdr:rowOff>
        </xdr:to>
        <xdr:sp macro="" textlink="">
          <xdr:nvSpPr>
            <xdr:cNvPr id="334991" name="CheckBox95" hidden="1">
              <a:extLst>
                <a:ext uri="{63B3BB69-23CF-44E3-9099-C40C66FF867C}">
                  <a14:compatExt spid="_x0000_s334991"/>
                </a:ext>
                <a:ext uri="{FF2B5EF4-FFF2-40B4-BE49-F238E27FC236}">
                  <a16:creationId xmlns:a16="http://schemas.microsoft.com/office/drawing/2014/main" id="{00000000-0008-0000-0000-00008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39</xdr:row>
          <xdr:rowOff>38100</xdr:rowOff>
        </xdr:from>
        <xdr:to>
          <xdr:col>15</xdr:col>
          <xdr:colOff>571500</xdr:colOff>
          <xdr:row>40</xdr:row>
          <xdr:rowOff>38100</xdr:rowOff>
        </xdr:to>
        <xdr:sp macro="" textlink="">
          <xdr:nvSpPr>
            <xdr:cNvPr id="334992" name="onHoldEst37" hidden="1">
              <a:extLst>
                <a:ext uri="{63B3BB69-23CF-44E3-9099-C40C66FF867C}">
                  <a14:compatExt spid="_x0000_s334992"/>
                </a:ext>
                <a:ext uri="{FF2B5EF4-FFF2-40B4-BE49-F238E27FC236}">
                  <a16:creationId xmlns:a16="http://schemas.microsoft.com/office/drawing/2014/main" id="{00000000-0008-0000-0000-00009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40</xdr:row>
          <xdr:rowOff>38100</xdr:rowOff>
        </xdr:from>
        <xdr:to>
          <xdr:col>15</xdr:col>
          <xdr:colOff>571500</xdr:colOff>
          <xdr:row>41</xdr:row>
          <xdr:rowOff>38100</xdr:rowOff>
        </xdr:to>
        <xdr:sp macro="" textlink="">
          <xdr:nvSpPr>
            <xdr:cNvPr id="334993" name="onHoldEst38" hidden="1">
              <a:extLst>
                <a:ext uri="{63B3BB69-23CF-44E3-9099-C40C66FF867C}">
                  <a14:compatExt spid="_x0000_s334993"/>
                </a:ext>
                <a:ext uri="{FF2B5EF4-FFF2-40B4-BE49-F238E27FC236}">
                  <a16:creationId xmlns:a16="http://schemas.microsoft.com/office/drawing/2014/main" id="{00000000-0008-0000-0000-00009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41</xdr:row>
          <xdr:rowOff>28575</xdr:rowOff>
        </xdr:from>
        <xdr:to>
          <xdr:col>15</xdr:col>
          <xdr:colOff>571500</xdr:colOff>
          <xdr:row>42</xdr:row>
          <xdr:rowOff>28575</xdr:rowOff>
        </xdr:to>
        <xdr:sp macro="" textlink="">
          <xdr:nvSpPr>
            <xdr:cNvPr id="334994" name="onHoldEst39" hidden="1">
              <a:extLst>
                <a:ext uri="{63B3BB69-23CF-44E3-9099-C40C66FF867C}">
                  <a14:compatExt spid="_x0000_s334994"/>
                </a:ext>
                <a:ext uri="{FF2B5EF4-FFF2-40B4-BE49-F238E27FC236}">
                  <a16:creationId xmlns:a16="http://schemas.microsoft.com/office/drawing/2014/main" id="{00000000-0008-0000-0000-00009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42</xdr:row>
          <xdr:rowOff>19050</xdr:rowOff>
        </xdr:from>
        <xdr:to>
          <xdr:col>15</xdr:col>
          <xdr:colOff>571500</xdr:colOff>
          <xdr:row>43</xdr:row>
          <xdr:rowOff>19050</xdr:rowOff>
        </xdr:to>
        <xdr:sp macro="" textlink="">
          <xdr:nvSpPr>
            <xdr:cNvPr id="334995" name="onHoldEst40" hidden="1">
              <a:extLst>
                <a:ext uri="{63B3BB69-23CF-44E3-9099-C40C66FF867C}">
                  <a14:compatExt spid="_x0000_s334995"/>
                </a:ext>
                <a:ext uri="{FF2B5EF4-FFF2-40B4-BE49-F238E27FC236}">
                  <a16:creationId xmlns:a16="http://schemas.microsoft.com/office/drawing/2014/main" id="{00000000-0008-0000-0000-00009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43</xdr:row>
          <xdr:rowOff>9525</xdr:rowOff>
        </xdr:from>
        <xdr:to>
          <xdr:col>15</xdr:col>
          <xdr:colOff>571500</xdr:colOff>
          <xdr:row>44</xdr:row>
          <xdr:rowOff>9525</xdr:rowOff>
        </xdr:to>
        <xdr:sp macro="" textlink="">
          <xdr:nvSpPr>
            <xdr:cNvPr id="334996" name="onHoldEst41" hidden="1">
              <a:extLst>
                <a:ext uri="{63B3BB69-23CF-44E3-9099-C40C66FF867C}">
                  <a14:compatExt spid="_x0000_s334996"/>
                </a:ext>
                <a:ext uri="{FF2B5EF4-FFF2-40B4-BE49-F238E27FC236}">
                  <a16:creationId xmlns:a16="http://schemas.microsoft.com/office/drawing/2014/main" id="{00000000-0008-0000-0000-00009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44</xdr:row>
          <xdr:rowOff>9525</xdr:rowOff>
        </xdr:from>
        <xdr:to>
          <xdr:col>15</xdr:col>
          <xdr:colOff>571500</xdr:colOff>
          <xdr:row>45</xdr:row>
          <xdr:rowOff>9525</xdr:rowOff>
        </xdr:to>
        <xdr:sp macro="" textlink="">
          <xdr:nvSpPr>
            <xdr:cNvPr id="334997" name="onHoldEst42" hidden="1">
              <a:extLst>
                <a:ext uri="{63B3BB69-23CF-44E3-9099-C40C66FF867C}">
                  <a14:compatExt spid="_x0000_s334997"/>
                </a:ext>
                <a:ext uri="{FF2B5EF4-FFF2-40B4-BE49-F238E27FC236}">
                  <a16:creationId xmlns:a16="http://schemas.microsoft.com/office/drawing/2014/main" id="{00000000-0008-0000-0000-00009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45</xdr:row>
          <xdr:rowOff>19050</xdr:rowOff>
        </xdr:from>
        <xdr:to>
          <xdr:col>15</xdr:col>
          <xdr:colOff>571500</xdr:colOff>
          <xdr:row>46</xdr:row>
          <xdr:rowOff>19050</xdr:rowOff>
        </xdr:to>
        <xdr:sp macro="" textlink="">
          <xdr:nvSpPr>
            <xdr:cNvPr id="334998" name="onHoldEst43" hidden="1">
              <a:extLst>
                <a:ext uri="{63B3BB69-23CF-44E3-9099-C40C66FF867C}">
                  <a14:compatExt spid="_x0000_s334998"/>
                </a:ext>
                <a:ext uri="{FF2B5EF4-FFF2-40B4-BE49-F238E27FC236}">
                  <a16:creationId xmlns:a16="http://schemas.microsoft.com/office/drawing/2014/main" id="{00000000-0008-0000-0000-00009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46</xdr:row>
          <xdr:rowOff>0</xdr:rowOff>
        </xdr:from>
        <xdr:to>
          <xdr:col>15</xdr:col>
          <xdr:colOff>571500</xdr:colOff>
          <xdr:row>47</xdr:row>
          <xdr:rowOff>0</xdr:rowOff>
        </xdr:to>
        <xdr:sp macro="" textlink="">
          <xdr:nvSpPr>
            <xdr:cNvPr id="334999" name="onHoldEst44" hidden="1">
              <a:extLst>
                <a:ext uri="{63B3BB69-23CF-44E3-9099-C40C66FF867C}">
                  <a14:compatExt spid="_x0000_s334999"/>
                </a:ext>
                <a:ext uri="{FF2B5EF4-FFF2-40B4-BE49-F238E27FC236}">
                  <a16:creationId xmlns:a16="http://schemas.microsoft.com/office/drawing/2014/main" id="{00000000-0008-0000-0000-00009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47</xdr:row>
          <xdr:rowOff>9525</xdr:rowOff>
        </xdr:from>
        <xdr:to>
          <xdr:col>15</xdr:col>
          <xdr:colOff>561975</xdr:colOff>
          <xdr:row>48</xdr:row>
          <xdr:rowOff>9525</xdr:rowOff>
        </xdr:to>
        <xdr:sp macro="" textlink="">
          <xdr:nvSpPr>
            <xdr:cNvPr id="335000" name="onHoldEst45" hidden="1">
              <a:extLst>
                <a:ext uri="{63B3BB69-23CF-44E3-9099-C40C66FF867C}">
                  <a14:compatExt spid="_x0000_s335000"/>
                </a:ext>
                <a:ext uri="{FF2B5EF4-FFF2-40B4-BE49-F238E27FC236}">
                  <a16:creationId xmlns:a16="http://schemas.microsoft.com/office/drawing/2014/main" id="{00000000-0008-0000-0000-00009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48</xdr:row>
          <xdr:rowOff>0</xdr:rowOff>
        </xdr:from>
        <xdr:to>
          <xdr:col>15</xdr:col>
          <xdr:colOff>552450</xdr:colOff>
          <xdr:row>49</xdr:row>
          <xdr:rowOff>0</xdr:rowOff>
        </xdr:to>
        <xdr:sp macro="" textlink="">
          <xdr:nvSpPr>
            <xdr:cNvPr id="335001" name="onHoldEst46" hidden="1">
              <a:extLst>
                <a:ext uri="{63B3BB69-23CF-44E3-9099-C40C66FF867C}">
                  <a14:compatExt spid="_x0000_s335001"/>
                </a:ext>
                <a:ext uri="{FF2B5EF4-FFF2-40B4-BE49-F238E27FC236}">
                  <a16:creationId xmlns:a16="http://schemas.microsoft.com/office/drawing/2014/main" id="{00000000-0008-0000-0000-00009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49</xdr:row>
          <xdr:rowOff>0</xdr:rowOff>
        </xdr:from>
        <xdr:to>
          <xdr:col>15</xdr:col>
          <xdr:colOff>552450</xdr:colOff>
          <xdr:row>50</xdr:row>
          <xdr:rowOff>0</xdr:rowOff>
        </xdr:to>
        <xdr:sp macro="" textlink="">
          <xdr:nvSpPr>
            <xdr:cNvPr id="335002" name="onHoldEst47" hidden="1">
              <a:extLst>
                <a:ext uri="{63B3BB69-23CF-44E3-9099-C40C66FF867C}">
                  <a14:compatExt spid="_x0000_s335002"/>
                </a:ext>
                <a:ext uri="{FF2B5EF4-FFF2-40B4-BE49-F238E27FC236}">
                  <a16:creationId xmlns:a16="http://schemas.microsoft.com/office/drawing/2014/main" id="{00000000-0008-0000-0000-00009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50</xdr:row>
          <xdr:rowOff>0</xdr:rowOff>
        </xdr:from>
        <xdr:to>
          <xdr:col>15</xdr:col>
          <xdr:colOff>552450</xdr:colOff>
          <xdr:row>51</xdr:row>
          <xdr:rowOff>0</xdr:rowOff>
        </xdr:to>
        <xdr:sp macro="" textlink="">
          <xdr:nvSpPr>
            <xdr:cNvPr id="335003" name="onHoldEst48" hidden="1">
              <a:extLst>
                <a:ext uri="{63B3BB69-23CF-44E3-9099-C40C66FF867C}">
                  <a14:compatExt spid="_x0000_s335003"/>
                </a:ext>
                <a:ext uri="{FF2B5EF4-FFF2-40B4-BE49-F238E27FC236}">
                  <a16:creationId xmlns:a16="http://schemas.microsoft.com/office/drawing/2014/main" id="{00000000-0008-0000-0000-00009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50</xdr:row>
          <xdr:rowOff>171450</xdr:rowOff>
        </xdr:from>
        <xdr:to>
          <xdr:col>15</xdr:col>
          <xdr:colOff>552450</xdr:colOff>
          <xdr:row>51</xdr:row>
          <xdr:rowOff>171450</xdr:rowOff>
        </xdr:to>
        <xdr:sp macro="" textlink="">
          <xdr:nvSpPr>
            <xdr:cNvPr id="335004" name="onHoldEst49" hidden="1">
              <a:extLst>
                <a:ext uri="{63B3BB69-23CF-44E3-9099-C40C66FF867C}">
                  <a14:compatExt spid="_x0000_s335004"/>
                </a:ext>
                <a:ext uri="{FF2B5EF4-FFF2-40B4-BE49-F238E27FC236}">
                  <a16:creationId xmlns:a16="http://schemas.microsoft.com/office/drawing/2014/main" id="{00000000-0008-0000-0000-00009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52</xdr:row>
          <xdr:rowOff>9525</xdr:rowOff>
        </xdr:from>
        <xdr:to>
          <xdr:col>15</xdr:col>
          <xdr:colOff>561975</xdr:colOff>
          <xdr:row>53</xdr:row>
          <xdr:rowOff>9525</xdr:rowOff>
        </xdr:to>
        <xdr:sp macro="" textlink="">
          <xdr:nvSpPr>
            <xdr:cNvPr id="335005" name="onHoldEst50" hidden="1">
              <a:extLst>
                <a:ext uri="{63B3BB69-23CF-44E3-9099-C40C66FF867C}">
                  <a14:compatExt spid="_x0000_s335005"/>
                </a:ext>
                <a:ext uri="{FF2B5EF4-FFF2-40B4-BE49-F238E27FC236}">
                  <a16:creationId xmlns:a16="http://schemas.microsoft.com/office/drawing/2014/main" id="{00000000-0008-0000-0000-00009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53</xdr:row>
          <xdr:rowOff>0</xdr:rowOff>
        </xdr:from>
        <xdr:to>
          <xdr:col>15</xdr:col>
          <xdr:colOff>561975</xdr:colOff>
          <xdr:row>54</xdr:row>
          <xdr:rowOff>0</xdr:rowOff>
        </xdr:to>
        <xdr:sp macro="" textlink="">
          <xdr:nvSpPr>
            <xdr:cNvPr id="335006" name="onHoldEst51" hidden="1">
              <a:extLst>
                <a:ext uri="{63B3BB69-23CF-44E3-9099-C40C66FF867C}">
                  <a14:compatExt spid="_x0000_s335006"/>
                </a:ext>
                <a:ext uri="{FF2B5EF4-FFF2-40B4-BE49-F238E27FC236}">
                  <a16:creationId xmlns:a16="http://schemas.microsoft.com/office/drawing/2014/main" id="{00000000-0008-0000-0000-00009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54</xdr:row>
          <xdr:rowOff>0</xdr:rowOff>
        </xdr:from>
        <xdr:to>
          <xdr:col>15</xdr:col>
          <xdr:colOff>561975</xdr:colOff>
          <xdr:row>55</xdr:row>
          <xdr:rowOff>0</xdr:rowOff>
        </xdr:to>
        <xdr:sp macro="" textlink="">
          <xdr:nvSpPr>
            <xdr:cNvPr id="335007" name="onHoldEst52" hidden="1">
              <a:extLst>
                <a:ext uri="{63B3BB69-23CF-44E3-9099-C40C66FF867C}">
                  <a14:compatExt spid="_x0000_s335007"/>
                </a:ext>
                <a:ext uri="{FF2B5EF4-FFF2-40B4-BE49-F238E27FC236}">
                  <a16:creationId xmlns:a16="http://schemas.microsoft.com/office/drawing/2014/main" id="{00000000-0008-0000-0000-00009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55</xdr:row>
          <xdr:rowOff>9525</xdr:rowOff>
        </xdr:from>
        <xdr:to>
          <xdr:col>15</xdr:col>
          <xdr:colOff>561975</xdr:colOff>
          <xdr:row>56</xdr:row>
          <xdr:rowOff>9525</xdr:rowOff>
        </xdr:to>
        <xdr:sp macro="" textlink="">
          <xdr:nvSpPr>
            <xdr:cNvPr id="335008" name="onHoldEst53" hidden="1">
              <a:extLst>
                <a:ext uri="{63B3BB69-23CF-44E3-9099-C40C66FF867C}">
                  <a14:compatExt spid="_x0000_s335008"/>
                </a:ext>
                <a:ext uri="{FF2B5EF4-FFF2-40B4-BE49-F238E27FC236}">
                  <a16:creationId xmlns:a16="http://schemas.microsoft.com/office/drawing/2014/main" id="{00000000-0008-0000-0000-0000A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56</xdr:row>
          <xdr:rowOff>28575</xdr:rowOff>
        </xdr:from>
        <xdr:to>
          <xdr:col>15</xdr:col>
          <xdr:colOff>561975</xdr:colOff>
          <xdr:row>57</xdr:row>
          <xdr:rowOff>28575</xdr:rowOff>
        </xdr:to>
        <xdr:sp macro="" textlink="">
          <xdr:nvSpPr>
            <xdr:cNvPr id="335009" name="onHoldEst54" hidden="1">
              <a:extLst>
                <a:ext uri="{63B3BB69-23CF-44E3-9099-C40C66FF867C}">
                  <a14:compatExt spid="_x0000_s335009"/>
                </a:ext>
                <a:ext uri="{FF2B5EF4-FFF2-40B4-BE49-F238E27FC236}">
                  <a16:creationId xmlns:a16="http://schemas.microsoft.com/office/drawing/2014/main" id="{00000000-0008-0000-0000-0000A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3</xdr:row>
          <xdr:rowOff>28575</xdr:rowOff>
        </xdr:from>
        <xdr:to>
          <xdr:col>15</xdr:col>
          <xdr:colOff>514350</xdr:colOff>
          <xdr:row>4</xdr:row>
          <xdr:rowOff>28575</xdr:rowOff>
        </xdr:to>
        <xdr:sp macro="" textlink="">
          <xdr:nvSpPr>
            <xdr:cNvPr id="335010" name="onHoldEst1" hidden="1">
              <a:extLst>
                <a:ext uri="{63B3BB69-23CF-44E3-9099-C40C66FF867C}">
                  <a14:compatExt spid="_x0000_s335010"/>
                </a:ext>
                <a:ext uri="{FF2B5EF4-FFF2-40B4-BE49-F238E27FC236}">
                  <a16:creationId xmlns:a16="http://schemas.microsoft.com/office/drawing/2014/main" id="{00000000-0008-0000-0000-0000A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47625</xdr:colOff>
          <xdr:row>1</xdr:row>
          <xdr:rowOff>104775</xdr:rowOff>
        </xdr:from>
        <xdr:to>
          <xdr:col>20</xdr:col>
          <xdr:colOff>1885950</xdr:colOff>
          <xdr:row>1</xdr:row>
          <xdr:rowOff>371475</xdr:rowOff>
        </xdr:to>
        <xdr:sp macro="" textlink="">
          <xdr:nvSpPr>
            <xdr:cNvPr id="5122" name="Ben1"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xdr:row>
          <xdr:rowOff>95250</xdr:rowOff>
        </xdr:from>
        <xdr:to>
          <xdr:col>22</xdr:col>
          <xdr:colOff>1809750</xdr:colOff>
          <xdr:row>1</xdr:row>
          <xdr:rowOff>333375</xdr:rowOff>
        </xdr:to>
        <xdr:sp macro="" textlink="">
          <xdr:nvSpPr>
            <xdr:cNvPr id="5123" name="ben2"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xdr:row>
          <xdr:rowOff>104775</xdr:rowOff>
        </xdr:from>
        <xdr:to>
          <xdr:col>24</xdr:col>
          <xdr:colOff>1743075</xdr:colOff>
          <xdr:row>1</xdr:row>
          <xdr:rowOff>352425</xdr:rowOff>
        </xdr:to>
        <xdr:sp macro="" textlink="">
          <xdr:nvSpPr>
            <xdr:cNvPr id="5124" name="ben3"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1857375</xdr:colOff>
          <xdr:row>21</xdr:row>
          <xdr:rowOff>47625</xdr:rowOff>
        </xdr:from>
        <xdr:to>
          <xdr:col>1</xdr:col>
          <xdr:colOff>3009900</xdr:colOff>
          <xdr:row>22</xdr:row>
          <xdr:rowOff>133350</xdr:rowOff>
        </xdr:to>
        <xdr:sp macro="" textlink="">
          <xdr:nvSpPr>
            <xdr:cNvPr id="5127" name="ComboBoxFirmen"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21</xdr:row>
          <xdr:rowOff>47625</xdr:rowOff>
        </xdr:from>
        <xdr:to>
          <xdr:col>1</xdr:col>
          <xdr:colOff>1295400</xdr:colOff>
          <xdr:row>23</xdr:row>
          <xdr:rowOff>19050</xdr:rowOff>
        </xdr:to>
        <xdr:sp macro="" textlink="">
          <xdr:nvSpPr>
            <xdr:cNvPr id="5128" name="Label1"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152400</xdr:rowOff>
        </xdr:from>
        <xdr:to>
          <xdr:col>1</xdr:col>
          <xdr:colOff>1447800</xdr:colOff>
          <xdr:row>25</xdr:row>
          <xdr:rowOff>38100</xdr:rowOff>
        </xdr:to>
        <xdr:sp macro="" textlink="">
          <xdr:nvSpPr>
            <xdr:cNvPr id="5129" name="Label2"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1828800</xdr:colOff>
          <xdr:row>23</xdr:row>
          <xdr:rowOff>171450</xdr:rowOff>
        </xdr:from>
        <xdr:to>
          <xdr:col>1</xdr:col>
          <xdr:colOff>3009900</xdr:colOff>
          <xdr:row>25</xdr:row>
          <xdr:rowOff>19050</xdr:rowOff>
        </xdr:to>
        <xdr:sp macro="" textlink="">
          <xdr:nvSpPr>
            <xdr:cNvPr id="5130" name="tbAnzahlWochen"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33</xdr:row>
          <xdr:rowOff>76200</xdr:rowOff>
        </xdr:from>
        <xdr:to>
          <xdr:col>1</xdr:col>
          <xdr:colOff>1171575</xdr:colOff>
          <xdr:row>35</xdr:row>
          <xdr:rowOff>123825</xdr:rowOff>
        </xdr:to>
        <xdr:sp macro="" textlink="">
          <xdr:nvSpPr>
            <xdr:cNvPr id="5132" name="lbBloecke"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26</xdr:row>
          <xdr:rowOff>9525</xdr:rowOff>
        </xdr:from>
        <xdr:to>
          <xdr:col>1</xdr:col>
          <xdr:colOff>1257300</xdr:colOff>
          <xdr:row>28</xdr:row>
          <xdr:rowOff>47625</xdr:rowOff>
        </xdr:to>
        <xdr:sp macro="" textlink="">
          <xdr:nvSpPr>
            <xdr:cNvPr id="5138" name="Label3" hidden="1">
              <a:extLst>
                <a:ext uri="{63B3BB69-23CF-44E3-9099-C40C66FF867C}">
                  <a14:compatExt spid="_x0000_s5138"/>
                </a:ext>
                <a:ext uri="{FF2B5EF4-FFF2-40B4-BE49-F238E27FC236}">
                  <a16:creationId xmlns:a16="http://schemas.microsoft.com/office/drawing/2014/main" id="{00000000-0008-0000-01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1790700</xdr:colOff>
          <xdr:row>26</xdr:row>
          <xdr:rowOff>114300</xdr:rowOff>
        </xdr:from>
        <xdr:to>
          <xdr:col>1</xdr:col>
          <xdr:colOff>2971800</xdr:colOff>
          <xdr:row>27</xdr:row>
          <xdr:rowOff>152400</xdr:rowOff>
        </xdr:to>
        <xdr:sp macro="" textlink="">
          <xdr:nvSpPr>
            <xdr:cNvPr id="5140" name="tbAnzahlBloecke" hidden="1">
              <a:extLst>
                <a:ext uri="{63B3BB69-23CF-44E3-9099-C40C66FF867C}">
                  <a14:compatExt spid="_x0000_s5140"/>
                </a:ext>
                <a:ext uri="{FF2B5EF4-FFF2-40B4-BE49-F238E27FC236}">
                  <a16:creationId xmlns:a16="http://schemas.microsoft.com/office/drawing/2014/main" id="{00000000-0008-0000-01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104775</xdr:colOff>
          <xdr:row>0</xdr:row>
          <xdr:rowOff>95250</xdr:rowOff>
        </xdr:from>
        <xdr:to>
          <xdr:col>35</xdr:col>
          <xdr:colOff>1809750</xdr:colOff>
          <xdr:row>1</xdr:row>
          <xdr:rowOff>66675</xdr:rowOff>
        </xdr:to>
        <xdr:sp macro="" textlink="">
          <xdr:nvSpPr>
            <xdr:cNvPr id="5143" name="aufg1" hidden="1">
              <a:extLst>
                <a:ext uri="{63B3BB69-23CF-44E3-9099-C40C66FF867C}">
                  <a14:compatExt spid="_x0000_s5143"/>
                </a:ext>
                <a:ext uri="{FF2B5EF4-FFF2-40B4-BE49-F238E27FC236}">
                  <a16:creationId xmlns:a16="http://schemas.microsoft.com/office/drawing/2014/main" id="{00000000-0008-0000-01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161925</xdr:colOff>
          <xdr:row>4</xdr:row>
          <xdr:rowOff>38100</xdr:rowOff>
        </xdr:from>
        <xdr:to>
          <xdr:col>36</xdr:col>
          <xdr:colOff>457200</xdr:colOff>
          <xdr:row>5</xdr:row>
          <xdr:rowOff>38100</xdr:rowOff>
        </xdr:to>
        <xdr:sp macro="" textlink="">
          <xdr:nvSpPr>
            <xdr:cNvPr id="5145" name="onHold2" hidden="1">
              <a:extLst>
                <a:ext uri="{63B3BB69-23CF-44E3-9099-C40C66FF867C}">
                  <a14:compatExt spid="_x0000_s5145"/>
                </a:ext>
                <a:ext uri="{FF2B5EF4-FFF2-40B4-BE49-F238E27FC236}">
                  <a16:creationId xmlns:a16="http://schemas.microsoft.com/office/drawing/2014/main" id="{00000000-0008-0000-01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xdr:row>
          <xdr:rowOff>247650</xdr:rowOff>
        </xdr:from>
        <xdr:to>
          <xdr:col>36</xdr:col>
          <xdr:colOff>466725</xdr:colOff>
          <xdr:row>6</xdr:row>
          <xdr:rowOff>47625</xdr:rowOff>
        </xdr:to>
        <xdr:sp macro="" textlink="">
          <xdr:nvSpPr>
            <xdr:cNvPr id="5147" name="onHold3" hidden="1">
              <a:extLst>
                <a:ext uri="{63B3BB69-23CF-44E3-9099-C40C66FF867C}">
                  <a14:compatExt spid="_x0000_s5147"/>
                </a:ext>
                <a:ext uri="{FF2B5EF4-FFF2-40B4-BE49-F238E27FC236}">
                  <a16:creationId xmlns:a16="http://schemas.microsoft.com/office/drawing/2014/main" id="{00000000-0008-0000-01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190500</xdr:colOff>
          <xdr:row>7</xdr:row>
          <xdr:rowOff>0</xdr:rowOff>
        </xdr:from>
        <xdr:to>
          <xdr:col>36</xdr:col>
          <xdr:colOff>476250</xdr:colOff>
          <xdr:row>7</xdr:row>
          <xdr:rowOff>180975</xdr:rowOff>
        </xdr:to>
        <xdr:sp macro="" textlink="">
          <xdr:nvSpPr>
            <xdr:cNvPr id="5149" name="onHold4"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7</xdr:row>
          <xdr:rowOff>38100</xdr:rowOff>
        </xdr:from>
        <xdr:to>
          <xdr:col>36</xdr:col>
          <xdr:colOff>466725</xdr:colOff>
          <xdr:row>8</xdr:row>
          <xdr:rowOff>28575</xdr:rowOff>
        </xdr:to>
        <xdr:sp macro="" textlink="">
          <xdr:nvSpPr>
            <xdr:cNvPr id="5151" name="onHold5" hidden="1">
              <a:extLst>
                <a:ext uri="{63B3BB69-23CF-44E3-9099-C40C66FF867C}">
                  <a14:compatExt spid="_x0000_s5151"/>
                </a:ext>
                <a:ext uri="{FF2B5EF4-FFF2-40B4-BE49-F238E27FC236}">
                  <a16:creationId xmlns:a16="http://schemas.microsoft.com/office/drawing/2014/main" id="{00000000-0008-0000-01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9</xdr:row>
          <xdr:rowOff>66675</xdr:rowOff>
        </xdr:from>
        <xdr:to>
          <xdr:col>36</xdr:col>
          <xdr:colOff>466725</xdr:colOff>
          <xdr:row>10</xdr:row>
          <xdr:rowOff>38100</xdr:rowOff>
        </xdr:to>
        <xdr:sp macro="" textlink="">
          <xdr:nvSpPr>
            <xdr:cNvPr id="5152" name="onHold7" hidden="1">
              <a:extLst>
                <a:ext uri="{63B3BB69-23CF-44E3-9099-C40C66FF867C}">
                  <a14:compatExt spid="_x0000_s5152"/>
                </a:ext>
                <a:ext uri="{FF2B5EF4-FFF2-40B4-BE49-F238E27FC236}">
                  <a16:creationId xmlns:a16="http://schemas.microsoft.com/office/drawing/2014/main" id="{00000000-0008-0000-01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10</xdr:row>
          <xdr:rowOff>57150</xdr:rowOff>
        </xdr:from>
        <xdr:to>
          <xdr:col>36</xdr:col>
          <xdr:colOff>466725</xdr:colOff>
          <xdr:row>11</xdr:row>
          <xdr:rowOff>19050</xdr:rowOff>
        </xdr:to>
        <xdr:sp macro="" textlink="">
          <xdr:nvSpPr>
            <xdr:cNvPr id="5153" name="onHold8" hidden="1">
              <a:extLst>
                <a:ext uri="{63B3BB69-23CF-44E3-9099-C40C66FF867C}">
                  <a14:compatExt spid="_x0000_s5153"/>
                </a:ext>
                <a:ext uri="{FF2B5EF4-FFF2-40B4-BE49-F238E27FC236}">
                  <a16:creationId xmlns:a16="http://schemas.microsoft.com/office/drawing/2014/main" id="{00000000-0008-0000-01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12</xdr:row>
          <xdr:rowOff>57150</xdr:rowOff>
        </xdr:from>
        <xdr:to>
          <xdr:col>36</xdr:col>
          <xdr:colOff>466725</xdr:colOff>
          <xdr:row>13</xdr:row>
          <xdr:rowOff>19050</xdr:rowOff>
        </xdr:to>
        <xdr:sp macro="" textlink="">
          <xdr:nvSpPr>
            <xdr:cNvPr id="5154" name="onHold10" hidden="1">
              <a:extLst>
                <a:ext uri="{63B3BB69-23CF-44E3-9099-C40C66FF867C}">
                  <a14:compatExt spid="_x0000_s5154"/>
                </a:ext>
                <a:ext uri="{FF2B5EF4-FFF2-40B4-BE49-F238E27FC236}">
                  <a16:creationId xmlns:a16="http://schemas.microsoft.com/office/drawing/2014/main" id="{00000000-0008-0000-01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13</xdr:row>
          <xdr:rowOff>19050</xdr:rowOff>
        </xdr:from>
        <xdr:to>
          <xdr:col>36</xdr:col>
          <xdr:colOff>466725</xdr:colOff>
          <xdr:row>14</xdr:row>
          <xdr:rowOff>19050</xdr:rowOff>
        </xdr:to>
        <xdr:sp macro="" textlink="">
          <xdr:nvSpPr>
            <xdr:cNvPr id="5155" name="onHold11" hidden="1">
              <a:extLst>
                <a:ext uri="{63B3BB69-23CF-44E3-9099-C40C66FF867C}">
                  <a14:compatExt spid="_x0000_s5155"/>
                </a:ext>
                <a:ext uri="{FF2B5EF4-FFF2-40B4-BE49-F238E27FC236}">
                  <a16:creationId xmlns:a16="http://schemas.microsoft.com/office/drawing/2014/main" id="{00000000-0008-0000-01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11</xdr:row>
          <xdr:rowOff>38100</xdr:rowOff>
        </xdr:from>
        <xdr:to>
          <xdr:col>36</xdr:col>
          <xdr:colOff>466725</xdr:colOff>
          <xdr:row>12</xdr:row>
          <xdr:rowOff>19050</xdr:rowOff>
        </xdr:to>
        <xdr:sp macro="" textlink="">
          <xdr:nvSpPr>
            <xdr:cNvPr id="5156" name="onHold9" hidden="1">
              <a:extLst>
                <a:ext uri="{63B3BB69-23CF-44E3-9099-C40C66FF867C}">
                  <a14:compatExt spid="_x0000_s5156"/>
                </a:ext>
                <a:ext uri="{FF2B5EF4-FFF2-40B4-BE49-F238E27FC236}">
                  <a16:creationId xmlns:a16="http://schemas.microsoft.com/office/drawing/2014/main" id="{00000000-0008-0000-01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8</xdr:row>
          <xdr:rowOff>28575</xdr:rowOff>
        </xdr:from>
        <xdr:to>
          <xdr:col>36</xdr:col>
          <xdr:colOff>466725</xdr:colOff>
          <xdr:row>9</xdr:row>
          <xdr:rowOff>28575</xdr:rowOff>
        </xdr:to>
        <xdr:sp macro="" textlink="">
          <xdr:nvSpPr>
            <xdr:cNvPr id="5157" name="onHold6" hidden="1">
              <a:extLst>
                <a:ext uri="{63B3BB69-23CF-44E3-9099-C40C66FF867C}">
                  <a14:compatExt spid="_x0000_s5157"/>
                </a:ext>
                <a:ext uri="{FF2B5EF4-FFF2-40B4-BE49-F238E27FC236}">
                  <a16:creationId xmlns:a16="http://schemas.microsoft.com/office/drawing/2014/main" id="{00000000-0008-0000-01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14</xdr:row>
          <xdr:rowOff>19050</xdr:rowOff>
        </xdr:from>
        <xdr:to>
          <xdr:col>36</xdr:col>
          <xdr:colOff>466725</xdr:colOff>
          <xdr:row>15</xdr:row>
          <xdr:rowOff>19050</xdr:rowOff>
        </xdr:to>
        <xdr:sp macro="" textlink="">
          <xdr:nvSpPr>
            <xdr:cNvPr id="5158" name="onHold12" hidden="1">
              <a:extLst>
                <a:ext uri="{63B3BB69-23CF-44E3-9099-C40C66FF867C}">
                  <a14:compatExt spid="_x0000_s5158"/>
                </a:ext>
                <a:ext uri="{FF2B5EF4-FFF2-40B4-BE49-F238E27FC236}">
                  <a16:creationId xmlns:a16="http://schemas.microsoft.com/office/drawing/2014/main" id="{00000000-0008-0000-01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15</xdr:row>
          <xdr:rowOff>19050</xdr:rowOff>
        </xdr:from>
        <xdr:to>
          <xdr:col>36</xdr:col>
          <xdr:colOff>466725</xdr:colOff>
          <xdr:row>16</xdr:row>
          <xdr:rowOff>9525</xdr:rowOff>
        </xdr:to>
        <xdr:sp macro="" textlink="">
          <xdr:nvSpPr>
            <xdr:cNvPr id="5159" name="onHold13"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16</xdr:row>
          <xdr:rowOff>38100</xdr:rowOff>
        </xdr:from>
        <xdr:to>
          <xdr:col>36</xdr:col>
          <xdr:colOff>466725</xdr:colOff>
          <xdr:row>17</xdr:row>
          <xdr:rowOff>19050</xdr:rowOff>
        </xdr:to>
        <xdr:sp macro="" textlink="">
          <xdr:nvSpPr>
            <xdr:cNvPr id="5160" name="onHold14" hidden="1">
              <a:extLst>
                <a:ext uri="{63B3BB69-23CF-44E3-9099-C40C66FF867C}">
                  <a14:compatExt spid="_x0000_s5160"/>
                </a:ext>
                <a:ext uri="{FF2B5EF4-FFF2-40B4-BE49-F238E27FC236}">
                  <a16:creationId xmlns:a16="http://schemas.microsoft.com/office/drawing/2014/main" id="{00000000-0008-0000-0100-00002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17</xdr:row>
          <xdr:rowOff>38100</xdr:rowOff>
        </xdr:from>
        <xdr:to>
          <xdr:col>36</xdr:col>
          <xdr:colOff>466725</xdr:colOff>
          <xdr:row>18</xdr:row>
          <xdr:rowOff>28575</xdr:rowOff>
        </xdr:to>
        <xdr:sp macro="" textlink="">
          <xdr:nvSpPr>
            <xdr:cNvPr id="5161" name="onHold15" hidden="1">
              <a:extLst>
                <a:ext uri="{63B3BB69-23CF-44E3-9099-C40C66FF867C}">
                  <a14:compatExt spid="_x0000_s5161"/>
                </a:ext>
                <a:ext uri="{FF2B5EF4-FFF2-40B4-BE49-F238E27FC236}">
                  <a16:creationId xmlns:a16="http://schemas.microsoft.com/office/drawing/2014/main" id="{00000000-0008-0000-0100-00002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18</xdr:row>
          <xdr:rowOff>57150</xdr:rowOff>
        </xdr:from>
        <xdr:to>
          <xdr:col>36</xdr:col>
          <xdr:colOff>466725</xdr:colOff>
          <xdr:row>19</xdr:row>
          <xdr:rowOff>38100</xdr:rowOff>
        </xdr:to>
        <xdr:sp macro="" textlink="">
          <xdr:nvSpPr>
            <xdr:cNvPr id="5162" name="onHold16" hidden="1">
              <a:extLst>
                <a:ext uri="{63B3BB69-23CF-44E3-9099-C40C66FF867C}">
                  <a14:compatExt spid="_x0000_s5162"/>
                </a:ext>
                <a:ext uri="{FF2B5EF4-FFF2-40B4-BE49-F238E27FC236}">
                  <a16:creationId xmlns:a16="http://schemas.microsoft.com/office/drawing/2014/main" id="{00000000-0008-0000-0100-00002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19</xdr:row>
          <xdr:rowOff>57150</xdr:rowOff>
        </xdr:from>
        <xdr:to>
          <xdr:col>36</xdr:col>
          <xdr:colOff>466725</xdr:colOff>
          <xdr:row>20</xdr:row>
          <xdr:rowOff>57150</xdr:rowOff>
        </xdr:to>
        <xdr:sp macro="" textlink="">
          <xdr:nvSpPr>
            <xdr:cNvPr id="5163" name="onHold17" hidden="1">
              <a:extLst>
                <a:ext uri="{63B3BB69-23CF-44E3-9099-C40C66FF867C}">
                  <a14:compatExt spid="_x0000_s5163"/>
                </a:ext>
                <a:ext uri="{FF2B5EF4-FFF2-40B4-BE49-F238E27FC236}">
                  <a16:creationId xmlns:a16="http://schemas.microsoft.com/office/drawing/2014/main" id="{00000000-0008-0000-0100-00002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20</xdr:row>
          <xdr:rowOff>57150</xdr:rowOff>
        </xdr:from>
        <xdr:to>
          <xdr:col>36</xdr:col>
          <xdr:colOff>466725</xdr:colOff>
          <xdr:row>21</xdr:row>
          <xdr:rowOff>28575</xdr:rowOff>
        </xdr:to>
        <xdr:sp macro="" textlink="">
          <xdr:nvSpPr>
            <xdr:cNvPr id="5164" name="onHold18" hidden="1">
              <a:extLst>
                <a:ext uri="{63B3BB69-23CF-44E3-9099-C40C66FF867C}">
                  <a14:compatExt spid="_x0000_s5164"/>
                </a:ext>
                <a:ext uri="{FF2B5EF4-FFF2-40B4-BE49-F238E27FC236}">
                  <a16:creationId xmlns:a16="http://schemas.microsoft.com/office/drawing/2014/main" id="{00000000-0008-0000-01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21</xdr:row>
          <xdr:rowOff>28575</xdr:rowOff>
        </xdr:from>
        <xdr:to>
          <xdr:col>36</xdr:col>
          <xdr:colOff>466725</xdr:colOff>
          <xdr:row>22</xdr:row>
          <xdr:rowOff>28575</xdr:rowOff>
        </xdr:to>
        <xdr:sp macro="" textlink="">
          <xdr:nvSpPr>
            <xdr:cNvPr id="5165" name="onHold19" hidden="1">
              <a:extLst>
                <a:ext uri="{63B3BB69-23CF-44E3-9099-C40C66FF867C}">
                  <a14:compatExt spid="_x0000_s5165"/>
                </a:ext>
                <a:ext uri="{FF2B5EF4-FFF2-40B4-BE49-F238E27FC236}">
                  <a16:creationId xmlns:a16="http://schemas.microsoft.com/office/drawing/2014/main" id="{00000000-0008-0000-0100-00002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22</xdr:row>
          <xdr:rowOff>28575</xdr:rowOff>
        </xdr:from>
        <xdr:to>
          <xdr:col>36</xdr:col>
          <xdr:colOff>466725</xdr:colOff>
          <xdr:row>23</xdr:row>
          <xdr:rowOff>28575</xdr:rowOff>
        </xdr:to>
        <xdr:sp macro="" textlink="">
          <xdr:nvSpPr>
            <xdr:cNvPr id="5166" name="onHold20" hidden="1">
              <a:extLst>
                <a:ext uri="{63B3BB69-23CF-44E3-9099-C40C66FF867C}">
                  <a14:compatExt spid="_x0000_s5166"/>
                </a:ext>
                <a:ext uri="{FF2B5EF4-FFF2-40B4-BE49-F238E27FC236}">
                  <a16:creationId xmlns:a16="http://schemas.microsoft.com/office/drawing/2014/main" id="{00000000-0008-0000-0100-00002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23</xdr:row>
          <xdr:rowOff>28575</xdr:rowOff>
        </xdr:from>
        <xdr:to>
          <xdr:col>36</xdr:col>
          <xdr:colOff>466725</xdr:colOff>
          <xdr:row>24</xdr:row>
          <xdr:rowOff>28575</xdr:rowOff>
        </xdr:to>
        <xdr:sp macro="" textlink="">
          <xdr:nvSpPr>
            <xdr:cNvPr id="5167" name="onHold21" hidden="1">
              <a:extLst>
                <a:ext uri="{63B3BB69-23CF-44E3-9099-C40C66FF867C}">
                  <a14:compatExt spid="_x0000_s5167"/>
                </a:ext>
                <a:ext uri="{FF2B5EF4-FFF2-40B4-BE49-F238E27FC236}">
                  <a16:creationId xmlns:a16="http://schemas.microsoft.com/office/drawing/2014/main" id="{00000000-0008-0000-0100-00002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24</xdr:row>
          <xdr:rowOff>28575</xdr:rowOff>
        </xdr:from>
        <xdr:to>
          <xdr:col>36</xdr:col>
          <xdr:colOff>466725</xdr:colOff>
          <xdr:row>25</xdr:row>
          <xdr:rowOff>28575</xdr:rowOff>
        </xdr:to>
        <xdr:sp macro="" textlink="">
          <xdr:nvSpPr>
            <xdr:cNvPr id="5168" name="onHold22" hidden="1">
              <a:extLst>
                <a:ext uri="{63B3BB69-23CF-44E3-9099-C40C66FF867C}">
                  <a14:compatExt spid="_x0000_s5168"/>
                </a:ext>
                <a:ext uri="{FF2B5EF4-FFF2-40B4-BE49-F238E27FC236}">
                  <a16:creationId xmlns:a16="http://schemas.microsoft.com/office/drawing/2014/main" id="{00000000-0008-0000-0100-00003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25</xdr:row>
          <xdr:rowOff>28575</xdr:rowOff>
        </xdr:from>
        <xdr:to>
          <xdr:col>36</xdr:col>
          <xdr:colOff>466725</xdr:colOff>
          <xdr:row>26</xdr:row>
          <xdr:rowOff>28575</xdr:rowOff>
        </xdr:to>
        <xdr:sp macro="" textlink="">
          <xdr:nvSpPr>
            <xdr:cNvPr id="5169" name="onHold23" hidden="1">
              <a:extLst>
                <a:ext uri="{63B3BB69-23CF-44E3-9099-C40C66FF867C}">
                  <a14:compatExt spid="_x0000_s5169"/>
                </a:ext>
                <a:ext uri="{FF2B5EF4-FFF2-40B4-BE49-F238E27FC236}">
                  <a16:creationId xmlns:a16="http://schemas.microsoft.com/office/drawing/2014/main" id="{00000000-0008-0000-0100-00003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26</xdr:row>
          <xdr:rowOff>28575</xdr:rowOff>
        </xdr:from>
        <xdr:to>
          <xdr:col>36</xdr:col>
          <xdr:colOff>466725</xdr:colOff>
          <xdr:row>27</xdr:row>
          <xdr:rowOff>28575</xdr:rowOff>
        </xdr:to>
        <xdr:sp macro="" textlink="">
          <xdr:nvSpPr>
            <xdr:cNvPr id="5170" name="onHold24" hidden="1">
              <a:extLst>
                <a:ext uri="{63B3BB69-23CF-44E3-9099-C40C66FF867C}">
                  <a14:compatExt spid="_x0000_s5170"/>
                </a:ext>
                <a:ext uri="{FF2B5EF4-FFF2-40B4-BE49-F238E27FC236}">
                  <a16:creationId xmlns:a16="http://schemas.microsoft.com/office/drawing/2014/main" id="{00000000-0008-0000-0100-00003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27</xdr:row>
          <xdr:rowOff>28575</xdr:rowOff>
        </xdr:from>
        <xdr:to>
          <xdr:col>36</xdr:col>
          <xdr:colOff>466725</xdr:colOff>
          <xdr:row>28</xdr:row>
          <xdr:rowOff>28575</xdr:rowOff>
        </xdr:to>
        <xdr:sp macro="" textlink="">
          <xdr:nvSpPr>
            <xdr:cNvPr id="5171" name="onHold25" hidden="1">
              <a:extLst>
                <a:ext uri="{63B3BB69-23CF-44E3-9099-C40C66FF867C}">
                  <a14:compatExt spid="_x0000_s5171"/>
                </a:ext>
                <a:ext uri="{FF2B5EF4-FFF2-40B4-BE49-F238E27FC236}">
                  <a16:creationId xmlns:a16="http://schemas.microsoft.com/office/drawing/2014/main" id="{00000000-0008-0000-0100-00003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28</xdr:row>
          <xdr:rowOff>28575</xdr:rowOff>
        </xdr:from>
        <xdr:to>
          <xdr:col>36</xdr:col>
          <xdr:colOff>466725</xdr:colOff>
          <xdr:row>29</xdr:row>
          <xdr:rowOff>28575</xdr:rowOff>
        </xdr:to>
        <xdr:sp macro="" textlink="">
          <xdr:nvSpPr>
            <xdr:cNvPr id="5172" name="onHold26" hidden="1">
              <a:extLst>
                <a:ext uri="{63B3BB69-23CF-44E3-9099-C40C66FF867C}">
                  <a14:compatExt spid="_x0000_s5172"/>
                </a:ext>
                <a:ext uri="{FF2B5EF4-FFF2-40B4-BE49-F238E27FC236}">
                  <a16:creationId xmlns:a16="http://schemas.microsoft.com/office/drawing/2014/main" id="{00000000-0008-0000-0100-00003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29</xdr:row>
          <xdr:rowOff>28575</xdr:rowOff>
        </xdr:from>
        <xdr:to>
          <xdr:col>36</xdr:col>
          <xdr:colOff>466725</xdr:colOff>
          <xdr:row>30</xdr:row>
          <xdr:rowOff>28575</xdr:rowOff>
        </xdr:to>
        <xdr:sp macro="" textlink="">
          <xdr:nvSpPr>
            <xdr:cNvPr id="5173" name="onHold27" hidden="1">
              <a:extLst>
                <a:ext uri="{63B3BB69-23CF-44E3-9099-C40C66FF867C}">
                  <a14:compatExt spid="_x0000_s5173"/>
                </a:ext>
                <a:ext uri="{FF2B5EF4-FFF2-40B4-BE49-F238E27FC236}">
                  <a16:creationId xmlns:a16="http://schemas.microsoft.com/office/drawing/2014/main" id="{00000000-0008-0000-0100-00003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30</xdr:row>
          <xdr:rowOff>28575</xdr:rowOff>
        </xdr:from>
        <xdr:to>
          <xdr:col>36</xdr:col>
          <xdr:colOff>466725</xdr:colOff>
          <xdr:row>31</xdr:row>
          <xdr:rowOff>28575</xdr:rowOff>
        </xdr:to>
        <xdr:sp macro="" textlink="">
          <xdr:nvSpPr>
            <xdr:cNvPr id="5174" name="onHold28" hidden="1">
              <a:extLst>
                <a:ext uri="{63B3BB69-23CF-44E3-9099-C40C66FF867C}">
                  <a14:compatExt spid="_x0000_s5174"/>
                </a:ext>
                <a:ext uri="{FF2B5EF4-FFF2-40B4-BE49-F238E27FC236}">
                  <a16:creationId xmlns:a16="http://schemas.microsoft.com/office/drawing/2014/main" id="{00000000-0008-0000-0100-00003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31</xdr:row>
          <xdr:rowOff>28575</xdr:rowOff>
        </xdr:from>
        <xdr:to>
          <xdr:col>36</xdr:col>
          <xdr:colOff>466725</xdr:colOff>
          <xdr:row>32</xdr:row>
          <xdr:rowOff>28575</xdr:rowOff>
        </xdr:to>
        <xdr:sp macro="" textlink="">
          <xdr:nvSpPr>
            <xdr:cNvPr id="5175" name="onHold29" hidden="1">
              <a:extLst>
                <a:ext uri="{63B3BB69-23CF-44E3-9099-C40C66FF867C}">
                  <a14:compatExt spid="_x0000_s5175"/>
                </a:ext>
                <a:ext uri="{FF2B5EF4-FFF2-40B4-BE49-F238E27FC236}">
                  <a16:creationId xmlns:a16="http://schemas.microsoft.com/office/drawing/2014/main" id="{00000000-0008-0000-0100-00003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32</xdr:row>
          <xdr:rowOff>28575</xdr:rowOff>
        </xdr:from>
        <xdr:to>
          <xdr:col>36</xdr:col>
          <xdr:colOff>466725</xdr:colOff>
          <xdr:row>33</xdr:row>
          <xdr:rowOff>28575</xdr:rowOff>
        </xdr:to>
        <xdr:sp macro="" textlink="">
          <xdr:nvSpPr>
            <xdr:cNvPr id="5176" name="onHold30" hidden="1">
              <a:extLst>
                <a:ext uri="{63B3BB69-23CF-44E3-9099-C40C66FF867C}">
                  <a14:compatExt spid="_x0000_s5176"/>
                </a:ext>
                <a:ext uri="{FF2B5EF4-FFF2-40B4-BE49-F238E27FC236}">
                  <a16:creationId xmlns:a16="http://schemas.microsoft.com/office/drawing/2014/main" id="{00000000-0008-0000-0100-00003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33</xdr:row>
          <xdr:rowOff>28575</xdr:rowOff>
        </xdr:from>
        <xdr:to>
          <xdr:col>36</xdr:col>
          <xdr:colOff>466725</xdr:colOff>
          <xdr:row>34</xdr:row>
          <xdr:rowOff>28575</xdr:rowOff>
        </xdr:to>
        <xdr:sp macro="" textlink="">
          <xdr:nvSpPr>
            <xdr:cNvPr id="5177" name="onHold31" hidden="1">
              <a:extLst>
                <a:ext uri="{63B3BB69-23CF-44E3-9099-C40C66FF867C}">
                  <a14:compatExt spid="_x0000_s5177"/>
                </a:ext>
                <a:ext uri="{FF2B5EF4-FFF2-40B4-BE49-F238E27FC236}">
                  <a16:creationId xmlns:a16="http://schemas.microsoft.com/office/drawing/2014/main" id="{00000000-0008-0000-0100-00003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34</xdr:row>
          <xdr:rowOff>28575</xdr:rowOff>
        </xdr:from>
        <xdr:to>
          <xdr:col>36</xdr:col>
          <xdr:colOff>466725</xdr:colOff>
          <xdr:row>35</xdr:row>
          <xdr:rowOff>28575</xdr:rowOff>
        </xdr:to>
        <xdr:sp macro="" textlink="">
          <xdr:nvSpPr>
            <xdr:cNvPr id="5178" name="onHold32" hidden="1">
              <a:extLst>
                <a:ext uri="{63B3BB69-23CF-44E3-9099-C40C66FF867C}">
                  <a14:compatExt spid="_x0000_s5178"/>
                </a:ext>
                <a:ext uri="{FF2B5EF4-FFF2-40B4-BE49-F238E27FC236}">
                  <a16:creationId xmlns:a16="http://schemas.microsoft.com/office/drawing/2014/main" id="{00000000-0008-0000-0100-00003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35</xdr:row>
          <xdr:rowOff>28575</xdr:rowOff>
        </xdr:from>
        <xdr:to>
          <xdr:col>36</xdr:col>
          <xdr:colOff>466725</xdr:colOff>
          <xdr:row>36</xdr:row>
          <xdr:rowOff>28575</xdr:rowOff>
        </xdr:to>
        <xdr:sp macro="" textlink="">
          <xdr:nvSpPr>
            <xdr:cNvPr id="5179" name="onHold33" hidden="1">
              <a:extLst>
                <a:ext uri="{63B3BB69-23CF-44E3-9099-C40C66FF867C}">
                  <a14:compatExt spid="_x0000_s5179"/>
                </a:ext>
                <a:ext uri="{FF2B5EF4-FFF2-40B4-BE49-F238E27FC236}">
                  <a16:creationId xmlns:a16="http://schemas.microsoft.com/office/drawing/2014/main" id="{00000000-0008-0000-0100-00003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36</xdr:row>
          <xdr:rowOff>28575</xdr:rowOff>
        </xdr:from>
        <xdr:to>
          <xdr:col>36</xdr:col>
          <xdr:colOff>466725</xdr:colOff>
          <xdr:row>37</xdr:row>
          <xdr:rowOff>28575</xdr:rowOff>
        </xdr:to>
        <xdr:sp macro="" textlink="">
          <xdr:nvSpPr>
            <xdr:cNvPr id="5180" name="onHold34" hidden="1">
              <a:extLst>
                <a:ext uri="{63B3BB69-23CF-44E3-9099-C40C66FF867C}">
                  <a14:compatExt spid="_x0000_s5180"/>
                </a:ext>
                <a:ext uri="{FF2B5EF4-FFF2-40B4-BE49-F238E27FC236}">
                  <a16:creationId xmlns:a16="http://schemas.microsoft.com/office/drawing/2014/main" id="{00000000-0008-0000-0100-00003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37</xdr:row>
          <xdr:rowOff>28575</xdr:rowOff>
        </xdr:from>
        <xdr:to>
          <xdr:col>36</xdr:col>
          <xdr:colOff>466725</xdr:colOff>
          <xdr:row>38</xdr:row>
          <xdr:rowOff>28575</xdr:rowOff>
        </xdr:to>
        <xdr:sp macro="" textlink="">
          <xdr:nvSpPr>
            <xdr:cNvPr id="5181" name="onHold35" hidden="1">
              <a:extLst>
                <a:ext uri="{63B3BB69-23CF-44E3-9099-C40C66FF867C}">
                  <a14:compatExt spid="_x0000_s5181"/>
                </a:ext>
                <a:ext uri="{FF2B5EF4-FFF2-40B4-BE49-F238E27FC236}">
                  <a16:creationId xmlns:a16="http://schemas.microsoft.com/office/drawing/2014/main" id="{00000000-0008-0000-01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38</xdr:row>
          <xdr:rowOff>28575</xdr:rowOff>
        </xdr:from>
        <xdr:to>
          <xdr:col>36</xdr:col>
          <xdr:colOff>466725</xdr:colOff>
          <xdr:row>39</xdr:row>
          <xdr:rowOff>28575</xdr:rowOff>
        </xdr:to>
        <xdr:sp macro="" textlink="">
          <xdr:nvSpPr>
            <xdr:cNvPr id="5182" name="onHold36" hidden="1">
              <a:extLst>
                <a:ext uri="{63B3BB69-23CF-44E3-9099-C40C66FF867C}">
                  <a14:compatExt spid="_x0000_s5182"/>
                </a:ext>
                <a:ext uri="{FF2B5EF4-FFF2-40B4-BE49-F238E27FC236}">
                  <a16:creationId xmlns:a16="http://schemas.microsoft.com/office/drawing/2014/main" id="{00000000-0008-0000-01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39</xdr:row>
          <xdr:rowOff>28575</xdr:rowOff>
        </xdr:from>
        <xdr:to>
          <xdr:col>36</xdr:col>
          <xdr:colOff>466725</xdr:colOff>
          <xdr:row>40</xdr:row>
          <xdr:rowOff>28575</xdr:rowOff>
        </xdr:to>
        <xdr:sp macro="" textlink="">
          <xdr:nvSpPr>
            <xdr:cNvPr id="5183" name="onHold37" hidden="1">
              <a:extLst>
                <a:ext uri="{63B3BB69-23CF-44E3-9099-C40C66FF867C}">
                  <a14:compatExt spid="_x0000_s5183"/>
                </a:ext>
                <a:ext uri="{FF2B5EF4-FFF2-40B4-BE49-F238E27FC236}">
                  <a16:creationId xmlns:a16="http://schemas.microsoft.com/office/drawing/2014/main" id="{00000000-0008-0000-01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40</xdr:row>
          <xdr:rowOff>28575</xdr:rowOff>
        </xdr:from>
        <xdr:to>
          <xdr:col>36</xdr:col>
          <xdr:colOff>466725</xdr:colOff>
          <xdr:row>41</xdr:row>
          <xdr:rowOff>28575</xdr:rowOff>
        </xdr:to>
        <xdr:sp macro="" textlink="">
          <xdr:nvSpPr>
            <xdr:cNvPr id="5184" name="onHold38" hidden="1">
              <a:extLst>
                <a:ext uri="{63B3BB69-23CF-44E3-9099-C40C66FF867C}">
                  <a14:compatExt spid="_x0000_s5184"/>
                </a:ext>
                <a:ext uri="{FF2B5EF4-FFF2-40B4-BE49-F238E27FC236}">
                  <a16:creationId xmlns:a16="http://schemas.microsoft.com/office/drawing/2014/main" id="{00000000-0008-0000-01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41</xdr:row>
          <xdr:rowOff>28575</xdr:rowOff>
        </xdr:from>
        <xdr:to>
          <xdr:col>36</xdr:col>
          <xdr:colOff>466725</xdr:colOff>
          <xdr:row>42</xdr:row>
          <xdr:rowOff>28575</xdr:rowOff>
        </xdr:to>
        <xdr:sp macro="" textlink="">
          <xdr:nvSpPr>
            <xdr:cNvPr id="5185" name="onHold39" hidden="1">
              <a:extLst>
                <a:ext uri="{63B3BB69-23CF-44E3-9099-C40C66FF867C}">
                  <a14:compatExt spid="_x0000_s5185"/>
                </a:ext>
                <a:ext uri="{FF2B5EF4-FFF2-40B4-BE49-F238E27FC236}">
                  <a16:creationId xmlns:a16="http://schemas.microsoft.com/office/drawing/2014/main" id="{00000000-0008-0000-01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42</xdr:row>
          <xdr:rowOff>28575</xdr:rowOff>
        </xdr:from>
        <xdr:to>
          <xdr:col>36</xdr:col>
          <xdr:colOff>466725</xdr:colOff>
          <xdr:row>43</xdr:row>
          <xdr:rowOff>28575</xdr:rowOff>
        </xdr:to>
        <xdr:sp macro="" textlink="">
          <xdr:nvSpPr>
            <xdr:cNvPr id="5186" name="onHold40" hidden="1">
              <a:extLst>
                <a:ext uri="{63B3BB69-23CF-44E3-9099-C40C66FF867C}">
                  <a14:compatExt spid="_x0000_s5186"/>
                </a:ext>
                <a:ext uri="{FF2B5EF4-FFF2-40B4-BE49-F238E27FC236}">
                  <a16:creationId xmlns:a16="http://schemas.microsoft.com/office/drawing/2014/main" id="{00000000-0008-0000-01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43</xdr:row>
          <xdr:rowOff>28575</xdr:rowOff>
        </xdr:from>
        <xdr:to>
          <xdr:col>36</xdr:col>
          <xdr:colOff>466725</xdr:colOff>
          <xdr:row>44</xdr:row>
          <xdr:rowOff>28575</xdr:rowOff>
        </xdr:to>
        <xdr:sp macro="" textlink="">
          <xdr:nvSpPr>
            <xdr:cNvPr id="5187" name="onHold41" hidden="1">
              <a:extLst>
                <a:ext uri="{63B3BB69-23CF-44E3-9099-C40C66FF867C}">
                  <a14:compatExt spid="_x0000_s5187"/>
                </a:ext>
                <a:ext uri="{FF2B5EF4-FFF2-40B4-BE49-F238E27FC236}">
                  <a16:creationId xmlns:a16="http://schemas.microsoft.com/office/drawing/2014/main" id="{00000000-0008-0000-01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44</xdr:row>
          <xdr:rowOff>28575</xdr:rowOff>
        </xdr:from>
        <xdr:to>
          <xdr:col>36</xdr:col>
          <xdr:colOff>466725</xdr:colOff>
          <xdr:row>45</xdr:row>
          <xdr:rowOff>28575</xdr:rowOff>
        </xdr:to>
        <xdr:sp macro="" textlink="">
          <xdr:nvSpPr>
            <xdr:cNvPr id="5188" name="onHold42" hidden="1">
              <a:extLst>
                <a:ext uri="{63B3BB69-23CF-44E3-9099-C40C66FF867C}">
                  <a14:compatExt spid="_x0000_s5188"/>
                </a:ext>
                <a:ext uri="{FF2B5EF4-FFF2-40B4-BE49-F238E27FC236}">
                  <a16:creationId xmlns:a16="http://schemas.microsoft.com/office/drawing/2014/main" id="{00000000-0008-0000-01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45</xdr:row>
          <xdr:rowOff>28575</xdr:rowOff>
        </xdr:from>
        <xdr:to>
          <xdr:col>36</xdr:col>
          <xdr:colOff>466725</xdr:colOff>
          <xdr:row>46</xdr:row>
          <xdr:rowOff>28575</xdr:rowOff>
        </xdr:to>
        <xdr:sp macro="" textlink="">
          <xdr:nvSpPr>
            <xdr:cNvPr id="5189" name="onHold43" hidden="1">
              <a:extLst>
                <a:ext uri="{63B3BB69-23CF-44E3-9099-C40C66FF867C}">
                  <a14:compatExt spid="_x0000_s5189"/>
                </a:ext>
                <a:ext uri="{FF2B5EF4-FFF2-40B4-BE49-F238E27FC236}">
                  <a16:creationId xmlns:a16="http://schemas.microsoft.com/office/drawing/2014/main" id="{00000000-0008-0000-01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46</xdr:row>
          <xdr:rowOff>28575</xdr:rowOff>
        </xdr:from>
        <xdr:to>
          <xdr:col>36</xdr:col>
          <xdr:colOff>466725</xdr:colOff>
          <xdr:row>47</xdr:row>
          <xdr:rowOff>28575</xdr:rowOff>
        </xdr:to>
        <xdr:sp macro="" textlink="">
          <xdr:nvSpPr>
            <xdr:cNvPr id="5190" name="onHold44" hidden="1">
              <a:extLst>
                <a:ext uri="{63B3BB69-23CF-44E3-9099-C40C66FF867C}">
                  <a14:compatExt spid="_x0000_s5190"/>
                </a:ext>
                <a:ext uri="{FF2B5EF4-FFF2-40B4-BE49-F238E27FC236}">
                  <a16:creationId xmlns:a16="http://schemas.microsoft.com/office/drawing/2014/main" id="{00000000-0008-0000-0100-00004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47</xdr:row>
          <xdr:rowOff>76200</xdr:rowOff>
        </xdr:from>
        <xdr:to>
          <xdr:col>36</xdr:col>
          <xdr:colOff>466725</xdr:colOff>
          <xdr:row>47</xdr:row>
          <xdr:rowOff>266700</xdr:rowOff>
        </xdr:to>
        <xdr:sp macro="" textlink="">
          <xdr:nvSpPr>
            <xdr:cNvPr id="5191" name="CheckBox45" hidden="1">
              <a:extLst>
                <a:ext uri="{63B3BB69-23CF-44E3-9099-C40C66FF867C}">
                  <a14:compatExt spid="_x0000_s5191"/>
                </a:ext>
                <a:ext uri="{FF2B5EF4-FFF2-40B4-BE49-F238E27FC236}">
                  <a16:creationId xmlns:a16="http://schemas.microsoft.com/office/drawing/2014/main" id="{00000000-0008-0000-0100-00004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47</xdr:row>
          <xdr:rowOff>28575</xdr:rowOff>
        </xdr:from>
        <xdr:to>
          <xdr:col>36</xdr:col>
          <xdr:colOff>466725</xdr:colOff>
          <xdr:row>47</xdr:row>
          <xdr:rowOff>219075</xdr:rowOff>
        </xdr:to>
        <xdr:sp macro="" textlink="">
          <xdr:nvSpPr>
            <xdr:cNvPr id="5192" name="onHold45" hidden="1">
              <a:extLst>
                <a:ext uri="{63B3BB69-23CF-44E3-9099-C40C66FF867C}">
                  <a14:compatExt spid="_x0000_s5192"/>
                </a:ext>
                <a:ext uri="{FF2B5EF4-FFF2-40B4-BE49-F238E27FC236}">
                  <a16:creationId xmlns:a16="http://schemas.microsoft.com/office/drawing/2014/main" id="{00000000-0008-0000-0100-00004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48</xdr:row>
          <xdr:rowOff>28575</xdr:rowOff>
        </xdr:from>
        <xdr:to>
          <xdr:col>36</xdr:col>
          <xdr:colOff>466725</xdr:colOff>
          <xdr:row>49</xdr:row>
          <xdr:rowOff>28575</xdr:rowOff>
        </xdr:to>
        <xdr:sp macro="" textlink="">
          <xdr:nvSpPr>
            <xdr:cNvPr id="5193" name="onHold46" hidden="1">
              <a:extLst>
                <a:ext uri="{63B3BB69-23CF-44E3-9099-C40C66FF867C}">
                  <a14:compatExt spid="_x0000_s5193"/>
                </a:ext>
                <a:ext uri="{FF2B5EF4-FFF2-40B4-BE49-F238E27FC236}">
                  <a16:creationId xmlns:a16="http://schemas.microsoft.com/office/drawing/2014/main" id="{00000000-0008-0000-0100-00004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49</xdr:row>
          <xdr:rowOff>28575</xdr:rowOff>
        </xdr:from>
        <xdr:to>
          <xdr:col>36</xdr:col>
          <xdr:colOff>466725</xdr:colOff>
          <xdr:row>50</xdr:row>
          <xdr:rowOff>19050</xdr:rowOff>
        </xdr:to>
        <xdr:sp macro="" textlink="">
          <xdr:nvSpPr>
            <xdr:cNvPr id="5194" name="onHold47" hidden="1">
              <a:extLst>
                <a:ext uri="{63B3BB69-23CF-44E3-9099-C40C66FF867C}">
                  <a14:compatExt spid="_x0000_s5194"/>
                </a:ext>
                <a:ext uri="{FF2B5EF4-FFF2-40B4-BE49-F238E27FC236}">
                  <a16:creationId xmlns:a16="http://schemas.microsoft.com/office/drawing/2014/main" id="{00000000-0008-0000-0100-00004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50</xdr:row>
          <xdr:rowOff>28575</xdr:rowOff>
        </xdr:from>
        <xdr:to>
          <xdr:col>36</xdr:col>
          <xdr:colOff>466725</xdr:colOff>
          <xdr:row>51</xdr:row>
          <xdr:rowOff>19050</xdr:rowOff>
        </xdr:to>
        <xdr:sp macro="" textlink="">
          <xdr:nvSpPr>
            <xdr:cNvPr id="5195" name="onHold48" hidden="1">
              <a:extLst>
                <a:ext uri="{63B3BB69-23CF-44E3-9099-C40C66FF867C}">
                  <a14:compatExt spid="_x0000_s5195"/>
                </a:ext>
                <a:ext uri="{FF2B5EF4-FFF2-40B4-BE49-F238E27FC236}">
                  <a16:creationId xmlns:a16="http://schemas.microsoft.com/office/drawing/2014/main" id="{00000000-0008-0000-0100-00004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51</xdr:row>
          <xdr:rowOff>28575</xdr:rowOff>
        </xdr:from>
        <xdr:to>
          <xdr:col>36</xdr:col>
          <xdr:colOff>466725</xdr:colOff>
          <xdr:row>52</xdr:row>
          <xdr:rowOff>28575</xdr:rowOff>
        </xdr:to>
        <xdr:sp macro="" textlink="">
          <xdr:nvSpPr>
            <xdr:cNvPr id="5196" name="onHold49" hidden="1">
              <a:extLst>
                <a:ext uri="{63B3BB69-23CF-44E3-9099-C40C66FF867C}">
                  <a14:compatExt spid="_x0000_s5196"/>
                </a:ext>
                <a:ext uri="{FF2B5EF4-FFF2-40B4-BE49-F238E27FC236}">
                  <a16:creationId xmlns:a16="http://schemas.microsoft.com/office/drawing/2014/main" id="{00000000-0008-0000-01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52</xdr:row>
          <xdr:rowOff>28575</xdr:rowOff>
        </xdr:from>
        <xdr:to>
          <xdr:col>36</xdr:col>
          <xdr:colOff>466725</xdr:colOff>
          <xdr:row>53</xdr:row>
          <xdr:rowOff>28575</xdr:rowOff>
        </xdr:to>
        <xdr:sp macro="" textlink="">
          <xdr:nvSpPr>
            <xdr:cNvPr id="5197" name="onHold50" hidden="1">
              <a:extLst>
                <a:ext uri="{63B3BB69-23CF-44E3-9099-C40C66FF867C}">
                  <a14:compatExt spid="_x0000_s5197"/>
                </a:ext>
                <a:ext uri="{FF2B5EF4-FFF2-40B4-BE49-F238E27FC236}">
                  <a16:creationId xmlns:a16="http://schemas.microsoft.com/office/drawing/2014/main" id="{00000000-0008-0000-01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76200</xdr:rowOff>
        </xdr:from>
        <xdr:to>
          <xdr:col>36</xdr:col>
          <xdr:colOff>466725</xdr:colOff>
          <xdr:row>53</xdr:row>
          <xdr:rowOff>266700</xdr:rowOff>
        </xdr:to>
        <xdr:sp macro="" textlink="">
          <xdr:nvSpPr>
            <xdr:cNvPr id="5198" name="CheckBox52" hidden="1">
              <a:extLst>
                <a:ext uri="{63B3BB69-23CF-44E3-9099-C40C66FF867C}">
                  <a14:compatExt spid="_x0000_s5198"/>
                </a:ext>
                <a:ext uri="{FF2B5EF4-FFF2-40B4-BE49-F238E27FC236}">
                  <a16:creationId xmlns:a16="http://schemas.microsoft.com/office/drawing/2014/main" id="{00000000-0008-0000-01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76200</xdr:rowOff>
        </xdr:from>
        <xdr:to>
          <xdr:col>36</xdr:col>
          <xdr:colOff>466725</xdr:colOff>
          <xdr:row>53</xdr:row>
          <xdr:rowOff>266700</xdr:rowOff>
        </xdr:to>
        <xdr:sp macro="" textlink="">
          <xdr:nvSpPr>
            <xdr:cNvPr id="5199" name="CheckBox53" hidden="1">
              <a:extLst>
                <a:ext uri="{63B3BB69-23CF-44E3-9099-C40C66FF867C}">
                  <a14:compatExt spid="_x0000_s5199"/>
                </a:ext>
                <a:ext uri="{FF2B5EF4-FFF2-40B4-BE49-F238E27FC236}">
                  <a16:creationId xmlns:a16="http://schemas.microsoft.com/office/drawing/2014/main" id="{00000000-0008-0000-01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28575</xdr:rowOff>
        </xdr:from>
        <xdr:to>
          <xdr:col>36</xdr:col>
          <xdr:colOff>466725</xdr:colOff>
          <xdr:row>53</xdr:row>
          <xdr:rowOff>219075</xdr:rowOff>
        </xdr:to>
        <xdr:sp macro="" textlink="">
          <xdr:nvSpPr>
            <xdr:cNvPr id="5200" name="onHold51" hidden="1">
              <a:extLst>
                <a:ext uri="{63B3BB69-23CF-44E3-9099-C40C66FF867C}">
                  <a14:compatExt spid="_x0000_s5200"/>
                </a:ext>
                <a:ext uri="{FF2B5EF4-FFF2-40B4-BE49-F238E27FC236}">
                  <a16:creationId xmlns:a16="http://schemas.microsoft.com/office/drawing/2014/main" id="{00000000-0008-0000-01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54</xdr:row>
          <xdr:rowOff>28575</xdr:rowOff>
        </xdr:from>
        <xdr:to>
          <xdr:col>36</xdr:col>
          <xdr:colOff>466725</xdr:colOff>
          <xdr:row>55</xdr:row>
          <xdr:rowOff>28575</xdr:rowOff>
        </xdr:to>
        <xdr:sp macro="" textlink="">
          <xdr:nvSpPr>
            <xdr:cNvPr id="5201" name="onHold52" hidden="1">
              <a:extLst>
                <a:ext uri="{63B3BB69-23CF-44E3-9099-C40C66FF867C}">
                  <a14:compatExt spid="_x0000_s5201"/>
                </a:ext>
                <a:ext uri="{FF2B5EF4-FFF2-40B4-BE49-F238E27FC236}">
                  <a16:creationId xmlns:a16="http://schemas.microsoft.com/office/drawing/2014/main" id="{00000000-0008-0000-01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55</xdr:row>
          <xdr:rowOff>28575</xdr:rowOff>
        </xdr:from>
        <xdr:to>
          <xdr:col>36</xdr:col>
          <xdr:colOff>466725</xdr:colOff>
          <xdr:row>56</xdr:row>
          <xdr:rowOff>28575</xdr:rowOff>
        </xdr:to>
        <xdr:sp macro="" textlink="">
          <xdr:nvSpPr>
            <xdr:cNvPr id="5202" name="onHold53" hidden="1">
              <a:extLst>
                <a:ext uri="{63B3BB69-23CF-44E3-9099-C40C66FF867C}">
                  <a14:compatExt spid="_x0000_s5202"/>
                </a:ext>
                <a:ext uri="{FF2B5EF4-FFF2-40B4-BE49-F238E27FC236}">
                  <a16:creationId xmlns:a16="http://schemas.microsoft.com/office/drawing/2014/main" id="{00000000-0008-0000-01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56</xdr:row>
          <xdr:rowOff>28575</xdr:rowOff>
        </xdr:from>
        <xdr:to>
          <xdr:col>36</xdr:col>
          <xdr:colOff>466725</xdr:colOff>
          <xdr:row>56</xdr:row>
          <xdr:rowOff>219075</xdr:rowOff>
        </xdr:to>
        <xdr:sp macro="" textlink="">
          <xdr:nvSpPr>
            <xdr:cNvPr id="5203" name="onHold54" hidden="1">
              <a:extLst>
                <a:ext uri="{63B3BB69-23CF-44E3-9099-C40C66FF867C}">
                  <a14:compatExt spid="_x0000_s5203"/>
                </a:ext>
                <a:ext uri="{FF2B5EF4-FFF2-40B4-BE49-F238E27FC236}">
                  <a16:creationId xmlns:a16="http://schemas.microsoft.com/office/drawing/2014/main" id="{00000000-0008-0000-01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161925</xdr:colOff>
          <xdr:row>3</xdr:row>
          <xdr:rowOff>28575</xdr:rowOff>
        </xdr:from>
        <xdr:to>
          <xdr:col>36</xdr:col>
          <xdr:colOff>457200</xdr:colOff>
          <xdr:row>4</xdr:row>
          <xdr:rowOff>19050</xdr:rowOff>
        </xdr:to>
        <xdr:sp macro="" textlink="">
          <xdr:nvSpPr>
            <xdr:cNvPr id="5204" name="onHold1" hidden="1">
              <a:extLst>
                <a:ext uri="{63B3BB69-23CF-44E3-9099-C40C66FF867C}">
                  <a14:compatExt spid="_x0000_s5204"/>
                </a:ext>
                <a:ext uri="{FF2B5EF4-FFF2-40B4-BE49-F238E27FC236}">
                  <a16:creationId xmlns:a16="http://schemas.microsoft.com/office/drawing/2014/main" id="{00000000-0008-0000-01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74542</xdr:colOff>
      <xdr:row>6</xdr:row>
      <xdr:rowOff>7484</xdr:rowOff>
    </xdr:from>
    <xdr:to>
      <xdr:col>19</xdr:col>
      <xdr:colOff>48986</xdr:colOff>
      <xdr:row>19</xdr:row>
      <xdr:rowOff>802822</xdr:rowOff>
    </xdr:to>
    <xdr:graphicFrame macro="">
      <xdr:nvGraphicFramePr>
        <xdr:cNvPr id="2" name="Projektzeitachse" descr="Line chart that plots each project on the corresponding timeframe.">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127906</xdr:colOff>
      <xdr:row>26</xdr:row>
      <xdr:rowOff>194582</xdr:rowOff>
    </xdr:from>
    <xdr:to>
      <xdr:col>19</xdr:col>
      <xdr:colOff>73477</xdr:colOff>
      <xdr:row>36</xdr:row>
      <xdr:rowOff>217714</xdr:rowOff>
    </xdr:to>
    <xdr:sp macro="" textlink="">
      <xdr:nvSpPr>
        <xdr:cNvPr id="3" name="Tipps zur Zeitachse" descr="The role of the Position values in the Project Details table is to prevent the Milestone labels from overlapping each other on the timeline. Use positive numbers to position labels above the timeline and negative numbers to position them below.&#10;&#10;To add additional Milestones, either insert new rows within the table or start typing below the last table entry and the table will automatically expand to accommodate your newly added data.  ">
          <a:extLst>
            <a:ext uri="{FF2B5EF4-FFF2-40B4-BE49-F238E27FC236}">
              <a16:creationId xmlns:a16="http://schemas.microsoft.com/office/drawing/2014/main" id="{00000000-0008-0000-0200-000003000000}"/>
            </a:ext>
          </a:extLst>
        </xdr:cNvPr>
        <xdr:cNvSpPr txBox="1"/>
      </xdr:nvSpPr>
      <xdr:spPr>
        <a:xfrm>
          <a:off x="19490870" y="7215868"/>
          <a:ext cx="4204607" cy="341131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en-US" sz="1400" b="1" spc="30" baseline="0">
              <a:solidFill>
                <a:schemeClr val="tx1"/>
              </a:solidFill>
              <a:effectLst/>
              <a:latin typeface="+mn-lt"/>
              <a:ea typeface="+mn-ea"/>
              <a:cs typeface="+mn-cs"/>
            </a:rPr>
            <a:t>Tipps zur Projektzeitachse</a:t>
          </a:r>
          <a:r>
            <a:rPr lang="en-US" sz="1200" b="1" spc="30" baseline="0">
              <a:solidFill>
                <a:srgbClr val="99D709"/>
              </a:solidFill>
              <a:effectLst/>
              <a:latin typeface="+mn-lt"/>
              <a:ea typeface="+mn-ea"/>
              <a:cs typeface="+mn-cs"/>
            </a:rPr>
            <a:t>:</a:t>
          </a:r>
        </a:p>
        <a:p>
          <a:endParaRPr lang="en-US" sz="1000">
            <a:solidFill>
              <a:schemeClr val="tx1">
                <a:lumMod val="50000"/>
                <a:lumOff val="50000"/>
              </a:schemeClr>
            </a:solidFill>
            <a:effectLst/>
            <a:latin typeface="+mn-lt"/>
            <a:ea typeface="+mn-ea"/>
            <a:cs typeface="+mn-cs"/>
          </a:endParaRPr>
        </a:p>
        <a:p>
          <a:pPr marL="0" indent="0">
            <a:buClr>
              <a:schemeClr val="accent1"/>
            </a:buClr>
            <a:buFontTx/>
            <a:buNone/>
          </a:pPr>
          <a:r>
            <a:rPr lang="en-US" sz="1200" b="0" spc="20">
              <a:solidFill>
                <a:schemeClr val="tx1"/>
              </a:solidFill>
              <a:effectLst/>
              <a:latin typeface="+mn-lt"/>
              <a:ea typeface="+mn-ea"/>
              <a:cs typeface="+mn-cs"/>
            </a:rPr>
            <a:t>Die Aufgabe der Positionswerte in der Tabelle "Projektdetails" besteht darin zu verhindern, dass die Meilensteinbeschriftungen sich gegenseitig überlappen. Positionieren Sie die Beschriftungen mit positiven Zahlen oberhalb der Zeitachse und mit negativen Zahlen unterhalb.</a:t>
          </a:r>
        </a:p>
        <a:p>
          <a:pPr marL="0" indent="0">
            <a:buClr>
              <a:schemeClr val="accent1"/>
            </a:buClr>
            <a:buFontTx/>
            <a:buNone/>
          </a:pPr>
          <a:endParaRPr lang="en-US" sz="1200" b="0" spc="20">
            <a:solidFill>
              <a:schemeClr val="tx1"/>
            </a:solidFill>
            <a:effectLst/>
            <a:latin typeface="+mn-lt"/>
            <a:ea typeface="+mn-ea"/>
            <a:cs typeface="+mn-cs"/>
          </a:endParaRPr>
        </a:p>
        <a:p>
          <a:pPr marL="0" indent="0">
            <a:buClr>
              <a:schemeClr val="accent1"/>
            </a:buClr>
            <a:buFontTx/>
            <a:buNone/>
          </a:pPr>
          <a:r>
            <a:rPr lang="en-US" sz="1200" b="0" spc="20">
              <a:solidFill>
                <a:schemeClr val="tx1"/>
              </a:solidFill>
              <a:effectLst/>
              <a:latin typeface="+mn-lt"/>
              <a:ea typeface="+mn-ea"/>
              <a:cs typeface="+mn-cs"/>
            </a:rPr>
            <a:t>Wenn Sie weitere Meilensteine hinzufügen möchten, fügen Sie entweder neue Zeilen in die Tabelle ein, oder beginnen Sie unterhalb des letzten Tabelleneintrags mit der Eingabe. Die Tabelle wird automatisch für die neu hinzugefügten Daten erweitert. </a:t>
          </a:r>
        </a:p>
        <a:p>
          <a:pPr marL="0" indent="0">
            <a:buClr>
              <a:schemeClr val="accent1"/>
            </a:buClr>
            <a:buFontTx/>
            <a:buNone/>
          </a:pPr>
          <a:endParaRPr lang="en-US" sz="1200" b="0" spc="20" baseline="0">
            <a:solidFill>
              <a:schemeClr val="tx1"/>
            </a:solidFill>
            <a:effectLst/>
            <a:latin typeface="+mn-lt"/>
            <a:ea typeface="+mn-ea"/>
            <a:cs typeface="+mn-cs"/>
          </a:endParaRPr>
        </a:p>
        <a:p>
          <a:pPr marL="0" indent="0">
            <a:buClr>
              <a:schemeClr val="accent1"/>
            </a:buClr>
            <a:buFontTx/>
            <a:buNone/>
          </a:pPr>
          <a:r>
            <a:rPr lang="en-US" sz="1200" b="0" spc="20" baseline="0">
              <a:solidFill>
                <a:schemeClr val="tx1"/>
              </a:solidFill>
              <a:effectLst/>
              <a:latin typeface="+mn-lt"/>
              <a:ea typeface="+mn-ea"/>
              <a:cs typeface="+mn-cs"/>
            </a:rPr>
            <a:t>Die Datumswerte </a:t>
          </a:r>
          <a:r>
            <a:rPr lang="en-US" sz="1200" b="1" spc="20" baseline="0">
              <a:solidFill>
                <a:schemeClr val="tx1"/>
              </a:solidFill>
              <a:effectLst/>
              <a:latin typeface="+mn-lt"/>
              <a:ea typeface="+mn-ea"/>
              <a:cs typeface="+mn-cs"/>
            </a:rPr>
            <a:t>müssen zwingend</a:t>
          </a:r>
          <a:r>
            <a:rPr lang="en-US" sz="1200" b="0" spc="20" baseline="0">
              <a:solidFill>
                <a:schemeClr val="tx1"/>
              </a:solidFill>
              <a:effectLst/>
              <a:latin typeface="+mn-lt"/>
              <a:ea typeface="+mn-ea"/>
              <a:cs typeface="+mn-cs"/>
            </a:rPr>
            <a:t> in aufsteigender Reinefolge eingegeben werden, damit die Meilensteine korrekt dargestellt werden!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400050</xdr:colOff>
          <xdr:row>0</xdr:row>
          <xdr:rowOff>619125</xdr:rowOff>
        </xdr:from>
        <xdr:to>
          <xdr:col>17</xdr:col>
          <xdr:colOff>333375</xdr:colOff>
          <xdr:row>3</xdr:row>
          <xdr:rowOff>200025</xdr:rowOff>
        </xdr:to>
        <xdr:sp macro="" textlink="">
          <xdr:nvSpPr>
            <xdr:cNvPr id="555009" name="FirmenLogo" hidden="1">
              <a:extLst>
                <a:ext uri="{63B3BB69-23CF-44E3-9099-C40C66FF867C}">
                  <a14:compatExt spid="_x0000_s555009"/>
                </a:ext>
                <a:ext uri="{FF2B5EF4-FFF2-40B4-BE49-F238E27FC236}">
                  <a16:creationId xmlns:a16="http://schemas.microsoft.com/office/drawing/2014/main" id="{00000000-0008-0000-0200-0000017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0.00411</cdr:y>
    </cdr:from>
    <cdr:to>
      <cdr:x>0.24138</cdr:x>
      <cdr:y>0.11466</cdr:y>
    </cdr:to>
    <cdr:sp macro="" textlink="">
      <cdr:nvSpPr>
        <cdr:cNvPr id="2" name="Textfeld 1"/>
        <cdr:cNvSpPr txBox="1"/>
      </cdr:nvSpPr>
      <cdr:spPr>
        <a:xfrm xmlns:a="http://schemas.openxmlformats.org/drawingml/2006/main">
          <a:off x="0" y="16565"/>
          <a:ext cx="4070485" cy="445024"/>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r>
            <a:rPr lang="de-CH" sz="1600" b="0">
              <a:solidFill>
                <a:schemeClr val="tx1"/>
              </a:solidFill>
              <a:latin typeface="Verdana" pitchFamily="34" charset="0"/>
              <a:ea typeface="Verdana" pitchFamily="34" charset="0"/>
              <a:cs typeface="Verdana" pitchFamily="34" charset="0"/>
            </a:rPr>
            <a:t>Zeitachse</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5629_03%20Makro%20Terminplan/Meilensteine-Zeitachse_BR-1002%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ktzeitachse"/>
    </sheetNames>
    <sheetDataSet>
      <sheetData sheetId="0">
        <row r="23">
          <cell r="F23">
            <v>0</v>
          </cell>
        </row>
        <row r="24">
          <cell r="F24" t="str">
            <v>ÓÓÓ</v>
          </cell>
        </row>
        <row r="25">
          <cell r="F25" t="str">
            <v>¿¿¿</v>
          </cell>
        </row>
        <row r="26">
          <cell r="F26" t="str">
            <v>¢¢¢</v>
          </cell>
        </row>
      </sheetData>
    </sheetDataSet>
  </externalBook>
</externalLink>
</file>

<file path=xl/tables/table1.xml><?xml version="1.0" encoding="utf-8"?>
<table xmlns="http://schemas.openxmlformats.org/spreadsheetml/2006/main" id="1" name="Projektdetails2" displayName="Projektdetails2" ref="B28:K51" totalsRowShown="0" headerRowDxfId="11" dataDxfId="10">
  <autoFilter ref="B28:K51"/>
  <tableColumns count="10">
    <tableColumn id="1" name="Datum" dataDxfId="9"/>
    <tableColumn id="2" name="Meilenstein" dataDxfId="8"/>
    <tableColumn id="3" name="Detail" dataDxfId="7"/>
    <tableColumn id="7" name="Station" dataDxfId="6" dataCellStyle="Standard 7"/>
    <tableColumn id="8" name="Description / Work Content _x000a_ Bezeichnung / Arbeitsinhalt" dataDxfId="5" dataCellStyle="Standard 7"/>
    <tableColumn id="13" name="Verantwortlich" dataDxfId="4"/>
    <tableColumn id="12" name="Status" dataDxfId="3"/>
    <tableColumn id="6" name="Spalte1" dataDxfId="2"/>
    <tableColumn id="4" name="Position" dataDxfId="1"/>
    <tableColumn id="5" name="Basislinie" dataDxfId="0"/>
  </tableColumns>
  <tableStyleInfo name="TableStyleLight1 2" showFirstColumn="0" showLastColumn="0" showRowStripes="1" showColumnStripes="0"/>
  <extLst>
    <ext xmlns:x14="http://schemas.microsoft.com/office/spreadsheetml/2009/9/main" uri="{504A1905-F514-4f6f-8877-14C23A59335A}">
      <x14:table altText="Projektdetails" altTextSummary="Liste der Daten, Meilensteine und Diagrammpositionen für das Projekt"/>
    </ext>
  </extLst>
</table>
</file>

<file path=xl/theme/theme1.xml><?xml version="1.0" encoding="utf-8"?>
<a:theme xmlns:a="http://schemas.openxmlformats.org/drawingml/2006/main" name="Larissa">
  <a:themeElements>
    <a:clrScheme name="Larissa">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Larissa">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21.xml"/><Relationship Id="rId117" Type="http://schemas.openxmlformats.org/officeDocument/2006/relationships/control" Target="../activeX/activeX111.xml"/><Relationship Id="rId21" Type="http://schemas.openxmlformats.org/officeDocument/2006/relationships/control" Target="../activeX/activeX16.xml"/><Relationship Id="rId42" Type="http://schemas.openxmlformats.org/officeDocument/2006/relationships/control" Target="../activeX/activeX37.xml"/><Relationship Id="rId47" Type="http://schemas.openxmlformats.org/officeDocument/2006/relationships/control" Target="../activeX/activeX42.xml"/><Relationship Id="rId63" Type="http://schemas.openxmlformats.org/officeDocument/2006/relationships/control" Target="../activeX/activeX57.xml"/><Relationship Id="rId68" Type="http://schemas.openxmlformats.org/officeDocument/2006/relationships/control" Target="../activeX/activeX62.xml"/><Relationship Id="rId84" Type="http://schemas.openxmlformats.org/officeDocument/2006/relationships/control" Target="../activeX/activeX78.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38" Type="http://schemas.openxmlformats.org/officeDocument/2006/relationships/control" Target="../activeX/activeX132.xml"/><Relationship Id="rId154" Type="http://schemas.openxmlformats.org/officeDocument/2006/relationships/control" Target="../activeX/activeX148.xml"/><Relationship Id="rId159" Type="http://schemas.openxmlformats.org/officeDocument/2006/relationships/control" Target="../activeX/activeX153.xml"/><Relationship Id="rId16" Type="http://schemas.openxmlformats.org/officeDocument/2006/relationships/control" Target="../activeX/activeX11.xml"/><Relationship Id="rId107" Type="http://schemas.openxmlformats.org/officeDocument/2006/relationships/control" Target="../activeX/activeX101.xml"/><Relationship Id="rId11" Type="http://schemas.openxmlformats.org/officeDocument/2006/relationships/control" Target="../activeX/activeX6.xml"/><Relationship Id="rId32" Type="http://schemas.openxmlformats.org/officeDocument/2006/relationships/control" Target="../activeX/activeX27.xml"/><Relationship Id="rId37" Type="http://schemas.openxmlformats.org/officeDocument/2006/relationships/control" Target="../activeX/activeX32.xml"/><Relationship Id="rId53" Type="http://schemas.openxmlformats.org/officeDocument/2006/relationships/control" Target="../activeX/activeX48.xml"/><Relationship Id="rId58" Type="http://schemas.openxmlformats.org/officeDocument/2006/relationships/image" Target="../media/image3.emf"/><Relationship Id="rId74" Type="http://schemas.openxmlformats.org/officeDocument/2006/relationships/control" Target="../activeX/activeX68.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28" Type="http://schemas.openxmlformats.org/officeDocument/2006/relationships/control" Target="../activeX/activeX122.xml"/><Relationship Id="rId144" Type="http://schemas.openxmlformats.org/officeDocument/2006/relationships/control" Target="../activeX/activeX138.xml"/><Relationship Id="rId149" Type="http://schemas.openxmlformats.org/officeDocument/2006/relationships/control" Target="../activeX/activeX143.xml"/><Relationship Id="rId5" Type="http://schemas.openxmlformats.org/officeDocument/2006/relationships/image" Target="../media/image1.emf"/><Relationship Id="rId90" Type="http://schemas.openxmlformats.org/officeDocument/2006/relationships/control" Target="../activeX/activeX84.xml"/><Relationship Id="rId95" Type="http://schemas.openxmlformats.org/officeDocument/2006/relationships/control" Target="../activeX/activeX89.xml"/><Relationship Id="rId160" Type="http://schemas.openxmlformats.org/officeDocument/2006/relationships/control" Target="../activeX/activeX154.xml"/><Relationship Id="rId165" Type="http://schemas.openxmlformats.org/officeDocument/2006/relationships/control" Target="../activeX/activeX159.xml"/><Relationship Id="rId22" Type="http://schemas.openxmlformats.org/officeDocument/2006/relationships/control" Target="../activeX/activeX17.xml"/><Relationship Id="rId27" Type="http://schemas.openxmlformats.org/officeDocument/2006/relationships/control" Target="../activeX/activeX22.xml"/><Relationship Id="rId43" Type="http://schemas.openxmlformats.org/officeDocument/2006/relationships/control" Target="../activeX/activeX38.xml"/><Relationship Id="rId48" Type="http://schemas.openxmlformats.org/officeDocument/2006/relationships/control" Target="../activeX/activeX43.xml"/><Relationship Id="rId64" Type="http://schemas.openxmlformats.org/officeDocument/2006/relationships/control" Target="../activeX/activeX58.xml"/><Relationship Id="rId69" Type="http://schemas.openxmlformats.org/officeDocument/2006/relationships/control" Target="../activeX/activeX63.xml"/><Relationship Id="rId113" Type="http://schemas.openxmlformats.org/officeDocument/2006/relationships/control" Target="../activeX/activeX107.xml"/><Relationship Id="rId118" Type="http://schemas.openxmlformats.org/officeDocument/2006/relationships/control" Target="../activeX/activeX112.xml"/><Relationship Id="rId134" Type="http://schemas.openxmlformats.org/officeDocument/2006/relationships/control" Target="../activeX/activeX128.xml"/><Relationship Id="rId139" Type="http://schemas.openxmlformats.org/officeDocument/2006/relationships/control" Target="../activeX/activeX133.xml"/><Relationship Id="rId80" Type="http://schemas.openxmlformats.org/officeDocument/2006/relationships/control" Target="../activeX/activeX74.xml"/><Relationship Id="rId85" Type="http://schemas.openxmlformats.org/officeDocument/2006/relationships/control" Target="../activeX/activeX79.xml"/><Relationship Id="rId150" Type="http://schemas.openxmlformats.org/officeDocument/2006/relationships/control" Target="../activeX/activeX144.xml"/><Relationship Id="rId155" Type="http://schemas.openxmlformats.org/officeDocument/2006/relationships/control" Target="../activeX/activeX149.xml"/><Relationship Id="rId12" Type="http://schemas.openxmlformats.org/officeDocument/2006/relationships/control" Target="../activeX/activeX7.xml"/><Relationship Id="rId17" Type="http://schemas.openxmlformats.org/officeDocument/2006/relationships/control" Target="../activeX/activeX12.xml"/><Relationship Id="rId33" Type="http://schemas.openxmlformats.org/officeDocument/2006/relationships/control" Target="../activeX/activeX28.xml"/><Relationship Id="rId38" Type="http://schemas.openxmlformats.org/officeDocument/2006/relationships/control" Target="../activeX/activeX33.xml"/><Relationship Id="rId59" Type="http://schemas.openxmlformats.org/officeDocument/2006/relationships/control" Target="../activeX/activeX53.xml"/><Relationship Id="rId103" Type="http://schemas.openxmlformats.org/officeDocument/2006/relationships/control" Target="../activeX/activeX97.xml"/><Relationship Id="rId108" Type="http://schemas.openxmlformats.org/officeDocument/2006/relationships/control" Target="../activeX/activeX102.xml"/><Relationship Id="rId124" Type="http://schemas.openxmlformats.org/officeDocument/2006/relationships/control" Target="../activeX/activeX118.xml"/><Relationship Id="rId129" Type="http://schemas.openxmlformats.org/officeDocument/2006/relationships/control" Target="../activeX/activeX123.xml"/><Relationship Id="rId54" Type="http://schemas.openxmlformats.org/officeDocument/2006/relationships/control" Target="../activeX/activeX49.xml"/><Relationship Id="rId70" Type="http://schemas.openxmlformats.org/officeDocument/2006/relationships/control" Target="../activeX/activeX64.xml"/><Relationship Id="rId75" Type="http://schemas.openxmlformats.org/officeDocument/2006/relationships/control" Target="../activeX/activeX69.xml"/><Relationship Id="rId91" Type="http://schemas.openxmlformats.org/officeDocument/2006/relationships/control" Target="../activeX/activeX85.xml"/><Relationship Id="rId96" Type="http://schemas.openxmlformats.org/officeDocument/2006/relationships/control" Target="../activeX/activeX90.xml"/><Relationship Id="rId140" Type="http://schemas.openxmlformats.org/officeDocument/2006/relationships/control" Target="../activeX/activeX134.xml"/><Relationship Id="rId145" Type="http://schemas.openxmlformats.org/officeDocument/2006/relationships/control" Target="../activeX/activeX139.xml"/><Relationship Id="rId161" Type="http://schemas.openxmlformats.org/officeDocument/2006/relationships/control" Target="../activeX/activeX155.xml"/><Relationship Id="rId166" Type="http://schemas.openxmlformats.org/officeDocument/2006/relationships/control" Target="../activeX/activeX160.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10.xml"/><Relationship Id="rId23" Type="http://schemas.openxmlformats.org/officeDocument/2006/relationships/control" Target="../activeX/activeX18.xml"/><Relationship Id="rId28" Type="http://schemas.openxmlformats.org/officeDocument/2006/relationships/control" Target="../activeX/activeX23.xml"/><Relationship Id="rId36" Type="http://schemas.openxmlformats.org/officeDocument/2006/relationships/control" Target="../activeX/activeX31.xml"/><Relationship Id="rId49" Type="http://schemas.openxmlformats.org/officeDocument/2006/relationships/control" Target="../activeX/activeX44.xml"/><Relationship Id="rId57" Type="http://schemas.openxmlformats.org/officeDocument/2006/relationships/control" Target="../activeX/activeX52.xml"/><Relationship Id="rId106" Type="http://schemas.openxmlformats.org/officeDocument/2006/relationships/control" Target="../activeX/activeX100.xml"/><Relationship Id="rId114" Type="http://schemas.openxmlformats.org/officeDocument/2006/relationships/control" Target="../activeX/activeX108.xml"/><Relationship Id="rId119" Type="http://schemas.openxmlformats.org/officeDocument/2006/relationships/control" Target="../activeX/activeX113.xml"/><Relationship Id="rId127" Type="http://schemas.openxmlformats.org/officeDocument/2006/relationships/control" Target="../activeX/activeX121.xml"/><Relationship Id="rId10" Type="http://schemas.openxmlformats.org/officeDocument/2006/relationships/control" Target="../activeX/activeX5.xml"/><Relationship Id="rId31" Type="http://schemas.openxmlformats.org/officeDocument/2006/relationships/control" Target="../activeX/activeX26.xml"/><Relationship Id="rId44" Type="http://schemas.openxmlformats.org/officeDocument/2006/relationships/control" Target="../activeX/activeX39.xml"/><Relationship Id="rId52" Type="http://schemas.openxmlformats.org/officeDocument/2006/relationships/control" Target="../activeX/activeX47.xml"/><Relationship Id="rId60" Type="http://schemas.openxmlformats.org/officeDocument/2006/relationships/control" Target="../activeX/activeX54.xml"/><Relationship Id="rId65" Type="http://schemas.openxmlformats.org/officeDocument/2006/relationships/control" Target="../activeX/activeX59.xml"/><Relationship Id="rId73" Type="http://schemas.openxmlformats.org/officeDocument/2006/relationships/control" Target="../activeX/activeX67.xml"/><Relationship Id="rId78" Type="http://schemas.openxmlformats.org/officeDocument/2006/relationships/control" Target="../activeX/activeX72.xml"/><Relationship Id="rId81" Type="http://schemas.openxmlformats.org/officeDocument/2006/relationships/control" Target="../activeX/activeX75.xml"/><Relationship Id="rId86" Type="http://schemas.openxmlformats.org/officeDocument/2006/relationships/control" Target="../activeX/activeX80.xml"/><Relationship Id="rId94" Type="http://schemas.openxmlformats.org/officeDocument/2006/relationships/control" Target="../activeX/activeX88.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30" Type="http://schemas.openxmlformats.org/officeDocument/2006/relationships/control" Target="../activeX/activeX124.xml"/><Relationship Id="rId135" Type="http://schemas.openxmlformats.org/officeDocument/2006/relationships/control" Target="../activeX/activeX129.xml"/><Relationship Id="rId143" Type="http://schemas.openxmlformats.org/officeDocument/2006/relationships/control" Target="../activeX/activeX137.xml"/><Relationship Id="rId148" Type="http://schemas.openxmlformats.org/officeDocument/2006/relationships/control" Target="../activeX/activeX142.xml"/><Relationship Id="rId151" Type="http://schemas.openxmlformats.org/officeDocument/2006/relationships/control" Target="../activeX/activeX145.xml"/><Relationship Id="rId156" Type="http://schemas.openxmlformats.org/officeDocument/2006/relationships/control" Target="../activeX/activeX150.xml"/><Relationship Id="rId164" Type="http://schemas.openxmlformats.org/officeDocument/2006/relationships/control" Target="../activeX/activeX158.xml"/><Relationship Id="rId4" Type="http://schemas.openxmlformats.org/officeDocument/2006/relationships/control" Target="../activeX/activeX1.xml"/><Relationship Id="rId9" Type="http://schemas.openxmlformats.org/officeDocument/2006/relationships/control" Target="../activeX/activeX4.xml"/><Relationship Id="rId13" Type="http://schemas.openxmlformats.org/officeDocument/2006/relationships/control" Target="../activeX/activeX8.xml"/><Relationship Id="rId18" Type="http://schemas.openxmlformats.org/officeDocument/2006/relationships/control" Target="../activeX/activeX13.xml"/><Relationship Id="rId39" Type="http://schemas.openxmlformats.org/officeDocument/2006/relationships/control" Target="../activeX/activeX34.xml"/><Relationship Id="rId109" Type="http://schemas.openxmlformats.org/officeDocument/2006/relationships/control" Target="../activeX/activeX103.xml"/><Relationship Id="rId34" Type="http://schemas.openxmlformats.org/officeDocument/2006/relationships/control" Target="../activeX/activeX29.xml"/><Relationship Id="rId50" Type="http://schemas.openxmlformats.org/officeDocument/2006/relationships/control" Target="../activeX/activeX45.xml"/><Relationship Id="rId55" Type="http://schemas.openxmlformats.org/officeDocument/2006/relationships/control" Target="../activeX/activeX50.xml"/><Relationship Id="rId76" Type="http://schemas.openxmlformats.org/officeDocument/2006/relationships/control" Target="../activeX/activeX70.xml"/><Relationship Id="rId97" Type="http://schemas.openxmlformats.org/officeDocument/2006/relationships/control" Target="../activeX/activeX91.xml"/><Relationship Id="rId104" Type="http://schemas.openxmlformats.org/officeDocument/2006/relationships/control" Target="../activeX/activeX98.xml"/><Relationship Id="rId120" Type="http://schemas.openxmlformats.org/officeDocument/2006/relationships/control" Target="../activeX/activeX114.xml"/><Relationship Id="rId125" Type="http://schemas.openxmlformats.org/officeDocument/2006/relationships/control" Target="../activeX/activeX119.xml"/><Relationship Id="rId141" Type="http://schemas.openxmlformats.org/officeDocument/2006/relationships/control" Target="../activeX/activeX135.xml"/><Relationship Id="rId146" Type="http://schemas.openxmlformats.org/officeDocument/2006/relationships/control" Target="../activeX/activeX140.xml"/><Relationship Id="rId167" Type="http://schemas.openxmlformats.org/officeDocument/2006/relationships/control" Target="../activeX/activeX161.xml"/><Relationship Id="rId7" Type="http://schemas.openxmlformats.org/officeDocument/2006/relationships/image" Target="../media/image2.emf"/><Relationship Id="rId71" Type="http://schemas.openxmlformats.org/officeDocument/2006/relationships/control" Target="../activeX/activeX65.xml"/><Relationship Id="rId92" Type="http://schemas.openxmlformats.org/officeDocument/2006/relationships/control" Target="../activeX/activeX86.xml"/><Relationship Id="rId162" Type="http://schemas.openxmlformats.org/officeDocument/2006/relationships/control" Target="../activeX/activeX156.xml"/><Relationship Id="rId2" Type="http://schemas.openxmlformats.org/officeDocument/2006/relationships/drawing" Target="../drawings/drawing1.xml"/><Relationship Id="rId29" Type="http://schemas.openxmlformats.org/officeDocument/2006/relationships/control" Target="../activeX/activeX24.xml"/><Relationship Id="rId24" Type="http://schemas.openxmlformats.org/officeDocument/2006/relationships/control" Target="../activeX/activeX19.xml"/><Relationship Id="rId40" Type="http://schemas.openxmlformats.org/officeDocument/2006/relationships/control" Target="../activeX/activeX35.xml"/><Relationship Id="rId45" Type="http://schemas.openxmlformats.org/officeDocument/2006/relationships/control" Target="../activeX/activeX40.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15" Type="http://schemas.openxmlformats.org/officeDocument/2006/relationships/control" Target="../activeX/activeX109.xml"/><Relationship Id="rId131" Type="http://schemas.openxmlformats.org/officeDocument/2006/relationships/control" Target="../activeX/activeX125.xml"/><Relationship Id="rId136" Type="http://schemas.openxmlformats.org/officeDocument/2006/relationships/control" Target="../activeX/activeX130.xml"/><Relationship Id="rId157" Type="http://schemas.openxmlformats.org/officeDocument/2006/relationships/control" Target="../activeX/activeX151.xml"/><Relationship Id="rId61" Type="http://schemas.openxmlformats.org/officeDocument/2006/relationships/control" Target="../activeX/activeX55.xml"/><Relationship Id="rId82" Type="http://schemas.openxmlformats.org/officeDocument/2006/relationships/control" Target="../activeX/activeX76.xml"/><Relationship Id="rId152" Type="http://schemas.openxmlformats.org/officeDocument/2006/relationships/control" Target="../activeX/activeX146.xml"/><Relationship Id="rId19" Type="http://schemas.openxmlformats.org/officeDocument/2006/relationships/control" Target="../activeX/activeX14.xml"/><Relationship Id="rId14" Type="http://schemas.openxmlformats.org/officeDocument/2006/relationships/control" Target="../activeX/activeX9.xml"/><Relationship Id="rId30" Type="http://schemas.openxmlformats.org/officeDocument/2006/relationships/control" Target="../activeX/activeX25.xml"/><Relationship Id="rId35" Type="http://schemas.openxmlformats.org/officeDocument/2006/relationships/control" Target="../activeX/activeX30.xml"/><Relationship Id="rId56" Type="http://schemas.openxmlformats.org/officeDocument/2006/relationships/control" Target="../activeX/activeX51.xml"/><Relationship Id="rId77" Type="http://schemas.openxmlformats.org/officeDocument/2006/relationships/control" Target="../activeX/activeX71.xml"/><Relationship Id="rId100" Type="http://schemas.openxmlformats.org/officeDocument/2006/relationships/control" Target="../activeX/activeX94.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1.xml"/><Relationship Id="rId168" Type="http://schemas.openxmlformats.org/officeDocument/2006/relationships/control" Target="../activeX/activeX162.xml"/><Relationship Id="rId8" Type="http://schemas.openxmlformats.org/officeDocument/2006/relationships/control" Target="../activeX/activeX3.xml"/><Relationship Id="rId51" Type="http://schemas.openxmlformats.org/officeDocument/2006/relationships/control" Target="../activeX/activeX46.xml"/><Relationship Id="rId72" Type="http://schemas.openxmlformats.org/officeDocument/2006/relationships/control" Target="../activeX/activeX66.xml"/><Relationship Id="rId93" Type="http://schemas.openxmlformats.org/officeDocument/2006/relationships/control" Target="../activeX/activeX87.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6.xml"/><Relationship Id="rId163" Type="http://schemas.openxmlformats.org/officeDocument/2006/relationships/control" Target="../activeX/activeX157.xml"/><Relationship Id="rId3" Type="http://schemas.openxmlformats.org/officeDocument/2006/relationships/vmlDrawing" Target="../drawings/vmlDrawing1.vml"/><Relationship Id="rId25" Type="http://schemas.openxmlformats.org/officeDocument/2006/relationships/control" Target="../activeX/activeX20.xml"/><Relationship Id="rId46" Type="http://schemas.openxmlformats.org/officeDocument/2006/relationships/control" Target="../activeX/activeX41.xml"/><Relationship Id="rId67" Type="http://schemas.openxmlformats.org/officeDocument/2006/relationships/control" Target="../activeX/activeX61.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2.xml"/><Relationship Id="rId20" Type="http://schemas.openxmlformats.org/officeDocument/2006/relationships/control" Target="../activeX/activeX15.xml"/><Relationship Id="rId41" Type="http://schemas.openxmlformats.org/officeDocument/2006/relationships/control" Target="../activeX/activeX36.xml"/><Relationship Id="rId62" Type="http://schemas.openxmlformats.org/officeDocument/2006/relationships/control" Target="../activeX/activeX56.xml"/><Relationship Id="rId83" Type="http://schemas.openxmlformats.org/officeDocument/2006/relationships/control" Target="../activeX/activeX77.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7.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167.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82.xml"/><Relationship Id="rId21" Type="http://schemas.openxmlformats.org/officeDocument/2006/relationships/control" Target="../activeX/activeX171.xml"/><Relationship Id="rId34" Type="http://schemas.openxmlformats.org/officeDocument/2006/relationships/control" Target="../activeX/activeX178.xml"/><Relationship Id="rId42" Type="http://schemas.openxmlformats.org/officeDocument/2006/relationships/control" Target="../activeX/activeX185.xml"/><Relationship Id="rId47" Type="http://schemas.openxmlformats.org/officeDocument/2006/relationships/control" Target="../activeX/activeX190.xml"/><Relationship Id="rId50" Type="http://schemas.openxmlformats.org/officeDocument/2006/relationships/control" Target="../activeX/activeX193.xml"/><Relationship Id="rId55" Type="http://schemas.openxmlformats.org/officeDocument/2006/relationships/control" Target="../activeX/activeX198.xml"/><Relationship Id="rId63" Type="http://schemas.openxmlformats.org/officeDocument/2006/relationships/control" Target="../activeX/activeX206.xml"/><Relationship Id="rId68" Type="http://schemas.openxmlformats.org/officeDocument/2006/relationships/control" Target="../activeX/activeX211.xml"/><Relationship Id="rId76" Type="http://schemas.openxmlformats.org/officeDocument/2006/relationships/control" Target="../activeX/activeX219.xml"/><Relationship Id="rId84" Type="http://schemas.openxmlformats.org/officeDocument/2006/relationships/control" Target="../activeX/activeX227.xml"/><Relationship Id="rId7" Type="http://schemas.openxmlformats.org/officeDocument/2006/relationships/control" Target="../activeX/activeX164.xml"/><Relationship Id="rId71" Type="http://schemas.openxmlformats.org/officeDocument/2006/relationships/control" Target="../activeX/activeX214.xml"/><Relationship Id="rId2" Type="http://schemas.openxmlformats.org/officeDocument/2006/relationships/printerSettings" Target="../printerSettings/printerSettings2.bin"/><Relationship Id="rId16" Type="http://schemas.openxmlformats.org/officeDocument/2006/relationships/image" Target="../media/image8.emf"/><Relationship Id="rId29" Type="http://schemas.openxmlformats.org/officeDocument/2006/relationships/control" Target="../activeX/activeX175.xml"/><Relationship Id="rId11" Type="http://schemas.openxmlformats.org/officeDocument/2006/relationships/control" Target="../activeX/activeX166.xml"/><Relationship Id="rId24" Type="http://schemas.openxmlformats.org/officeDocument/2006/relationships/image" Target="../media/image12.emf"/><Relationship Id="rId32" Type="http://schemas.openxmlformats.org/officeDocument/2006/relationships/control" Target="../activeX/activeX177.xml"/><Relationship Id="rId37" Type="http://schemas.openxmlformats.org/officeDocument/2006/relationships/control" Target="../activeX/activeX180.xml"/><Relationship Id="rId40" Type="http://schemas.openxmlformats.org/officeDocument/2006/relationships/control" Target="../activeX/activeX183.xml"/><Relationship Id="rId45" Type="http://schemas.openxmlformats.org/officeDocument/2006/relationships/control" Target="../activeX/activeX188.xml"/><Relationship Id="rId53" Type="http://schemas.openxmlformats.org/officeDocument/2006/relationships/control" Target="../activeX/activeX196.xml"/><Relationship Id="rId58" Type="http://schemas.openxmlformats.org/officeDocument/2006/relationships/control" Target="../activeX/activeX201.xml"/><Relationship Id="rId66" Type="http://schemas.openxmlformats.org/officeDocument/2006/relationships/control" Target="../activeX/activeX209.xml"/><Relationship Id="rId74" Type="http://schemas.openxmlformats.org/officeDocument/2006/relationships/control" Target="../activeX/activeX217.xml"/><Relationship Id="rId79" Type="http://schemas.openxmlformats.org/officeDocument/2006/relationships/control" Target="../activeX/activeX222.xml"/><Relationship Id="rId87" Type="http://schemas.openxmlformats.org/officeDocument/2006/relationships/control" Target="../activeX/activeX230.xml"/><Relationship Id="rId5" Type="http://schemas.openxmlformats.org/officeDocument/2006/relationships/control" Target="../activeX/activeX163.xml"/><Relationship Id="rId61" Type="http://schemas.openxmlformats.org/officeDocument/2006/relationships/control" Target="../activeX/activeX204.xml"/><Relationship Id="rId82" Type="http://schemas.openxmlformats.org/officeDocument/2006/relationships/control" Target="../activeX/activeX225.xml"/><Relationship Id="rId19" Type="http://schemas.openxmlformats.org/officeDocument/2006/relationships/control" Target="../activeX/activeX170.xml"/><Relationship Id="rId4" Type="http://schemas.openxmlformats.org/officeDocument/2006/relationships/vmlDrawing" Target="../drawings/vmlDrawing2.vml"/><Relationship Id="rId9" Type="http://schemas.openxmlformats.org/officeDocument/2006/relationships/control" Target="../activeX/activeX165.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74.xml"/><Relationship Id="rId30" Type="http://schemas.openxmlformats.org/officeDocument/2006/relationships/control" Target="../activeX/activeX176.xml"/><Relationship Id="rId35" Type="http://schemas.openxmlformats.org/officeDocument/2006/relationships/image" Target="../media/image2.emf"/><Relationship Id="rId43" Type="http://schemas.openxmlformats.org/officeDocument/2006/relationships/control" Target="../activeX/activeX186.xml"/><Relationship Id="rId48" Type="http://schemas.openxmlformats.org/officeDocument/2006/relationships/control" Target="../activeX/activeX191.xml"/><Relationship Id="rId56" Type="http://schemas.openxmlformats.org/officeDocument/2006/relationships/control" Target="../activeX/activeX199.xml"/><Relationship Id="rId64" Type="http://schemas.openxmlformats.org/officeDocument/2006/relationships/control" Target="../activeX/activeX207.xml"/><Relationship Id="rId69" Type="http://schemas.openxmlformats.org/officeDocument/2006/relationships/control" Target="../activeX/activeX212.xml"/><Relationship Id="rId77" Type="http://schemas.openxmlformats.org/officeDocument/2006/relationships/control" Target="../activeX/activeX220.xml"/><Relationship Id="rId8" Type="http://schemas.openxmlformats.org/officeDocument/2006/relationships/image" Target="../media/image4.emf"/><Relationship Id="rId51" Type="http://schemas.openxmlformats.org/officeDocument/2006/relationships/control" Target="../activeX/activeX194.xml"/><Relationship Id="rId72" Type="http://schemas.openxmlformats.org/officeDocument/2006/relationships/control" Target="../activeX/activeX215.xml"/><Relationship Id="rId80" Type="http://schemas.openxmlformats.org/officeDocument/2006/relationships/control" Target="../activeX/activeX223.xml"/><Relationship Id="rId85" Type="http://schemas.openxmlformats.org/officeDocument/2006/relationships/control" Target="../activeX/activeX228.xml"/><Relationship Id="rId3" Type="http://schemas.openxmlformats.org/officeDocument/2006/relationships/drawing" Target="../drawings/drawing2.xml"/><Relationship Id="rId12" Type="http://schemas.openxmlformats.org/officeDocument/2006/relationships/image" Target="../media/image6.emf"/><Relationship Id="rId17" Type="http://schemas.openxmlformats.org/officeDocument/2006/relationships/control" Target="../activeX/activeX169.xml"/><Relationship Id="rId25" Type="http://schemas.openxmlformats.org/officeDocument/2006/relationships/control" Target="../activeX/activeX173.xml"/><Relationship Id="rId33" Type="http://schemas.openxmlformats.org/officeDocument/2006/relationships/image" Target="../media/image15.emf"/><Relationship Id="rId38" Type="http://schemas.openxmlformats.org/officeDocument/2006/relationships/control" Target="../activeX/activeX181.xml"/><Relationship Id="rId46" Type="http://schemas.openxmlformats.org/officeDocument/2006/relationships/control" Target="../activeX/activeX189.xml"/><Relationship Id="rId59" Type="http://schemas.openxmlformats.org/officeDocument/2006/relationships/control" Target="../activeX/activeX202.xml"/><Relationship Id="rId67" Type="http://schemas.openxmlformats.org/officeDocument/2006/relationships/control" Target="../activeX/activeX210.xml"/><Relationship Id="rId20" Type="http://schemas.openxmlformats.org/officeDocument/2006/relationships/image" Target="../media/image10.emf"/><Relationship Id="rId41" Type="http://schemas.openxmlformats.org/officeDocument/2006/relationships/control" Target="../activeX/activeX184.xml"/><Relationship Id="rId54" Type="http://schemas.openxmlformats.org/officeDocument/2006/relationships/control" Target="../activeX/activeX197.xml"/><Relationship Id="rId62" Type="http://schemas.openxmlformats.org/officeDocument/2006/relationships/control" Target="../activeX/activeX205.xml"/><Relationship Id="rId70" Type="http://schemas.openxmlformats.org/officeDocument/2006/relationships/control" Target="../activeX/activeX213.xml"/><Relationship Id="rId75" Type="http://schemas.openxmlformats.org/officeDocument/2006/relationships/control" Target="../activeX/activeX218.xml"/><Relationship Id="rId83" Type="http://schemas.openxmlformats.org/officeDocument/2006/relationships/control" Target="../activeX/activeX226.xml"/><Relationship Id="rId88" Type="http://schemas.openxmlformats.org/officeDocument/2006/relationships/comments" Target="../comments1.xml"/><Relationship Id="rId1" Type="http://schemas.openxmlformats.org/officeDocument/2006/relationships/hyperlink" Target="mailto:w.schmid@schmid-maschinenbau.de" TargetMode="External"/><Relationship Id="rId6" Type="http://schemas.openxmlformats.org/officeDocument/2006/relationships/image" Target="../media/image1.emf"/><Relationship Id="rId15" Type="http://schemas.openxmlformats.org/officeDocument/2006/relationships/control" Target="../activeX/activeX168.xml"/><Relationship Id="rId23" Type="http://schemas.openxmlformats.org/officeDocument/2006/relationships/control" Target="../activeX/activeX172.xml"/><Relationship Id="rId28" Type="http://schemas.openxmlformats.org/officeDocument/2006/relationships/image" Target="../media/image14.emf"/><Relationship Id="rId36" Type="http://schemas.openxmlformats.org/officeDocument/2006/relationships/control" Target="../activeX/activeX179.xml"/><Relationship Id="rId49" Type="http://schemas.openxmlformats.org/officeDocument/2006/relationships/control" Target="../activeX/activeX192.xml"/><Relationship Id="rId57" Type="http://schemas.openxmlformats.org/officeDocument/2006/relationships/control" Target="../activeX/activeX200.xml"/><Relationship Id="rId10" Type="http://schemas.openxmlformats.org/officeDocument/2006/relationships/image" Target="../media/image5.emf"/><Relationship Id="rId31" Type="http://schemas.openxmlformats.org/officeDocument/2006/relationships/image" Target="../media/image3.emf"/><Relationship Id="rId44" Type="http://schemas.openxmlformats.org/officeDocument/2006/relationships/control" Target="../activeX/activeX187.xml"/><Relationship Id="rId52" Type="http://schemas.openxmlformats.org/officeDocument/2006/relationships/control" Target="../activeX/activeX195.xml"/><Relationship Id="rId60" Type="http://schemas.openxmlformats.org/officeDocument/2006/relationships/control" Target="../activeX/activeX203.xml"/><Relationship Id="rId65" Type="http://schemas.openxmlformats.org/officeDocument/2006/relationships/control" Target="../activeX/activeX208.xml"/><Relationship Id="rId73" Type="http://schemas.openxmlformats.org/officeDocument/2006/relationships/control" Target="../activeX/activeX216.xml"/><Relationship Id="rId78" Type="http://schemas.openxmlformats.org/officeDocument/2006/relationships/control" Target="../activeX/activeX221.xml"/><Relationship Id="rId81" Type="http://schemas.openxmlformats.org/officeDocument/2006/relationships/control" Target="../activeX/activeX224.xml"/><Relationship Id="rId86" Type="http://schemas.openxmlformats.org/officeDocument/2006/relationships/control" Target="../activeX/activeX22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16.emf"/><Relationship Id="rId4" Type="http://schemas.openxmlformats.org/officeDocument/2006/relationships/control" Target="../activeX/activeX23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0" tint="-0.34998626667073579"/>
  </sheetPr>
  <dimension ref="A1:Q60"/>
  <sheetViews>
    <sheetView showGridLines="0" topLeftCell="C1" workbookViewId="0">
      <selection activeCell="G14" sqref="G14"/>
    </sheetView>
  </sheetViews>
  <sheetFormatPr baseColWidth="10" defaultRowHeight="15" x14ac:dyDescent="0.25"/>
  <cols>
    <col min="1" max="1" width="2.5703125" customWidth="1"/>
    <col min="2" max="2" width="34.140625" customWidth="1"/>
    <col min="4" max="4" width="4.85546875" customWidth="1"/>
    <col min="5" max="5" width="40.7109375" customWidth="1"/>
    <col min="6" max="6" width="8.7109375" customWidth="1"/>
    <col min="7" max="7" width="9.140625" customWidth="1"/>
    <col min="8" max="8" width="3.140625" customWidth="1"/>
    <col min="9" max="9" width="4.85546875" style="78" customWidth="1"/>
    <col min="10" max="10" width="40.7109375" style="78" customWidth="1"/>
    <col min="11" max="11" width="8.7109375" style="78" customWidth="1"/>
    <col min="12" max="12" width="9.140625" style="78" customWidth="1"/>
    <col min="13" max="13" width="3.140625" customWidth="1"/>
    <col min="14" max="14" width="4.85546875" style="78" customWidth="1"/>
    <col min="15" max="15" width="40.7109375" style="78" customWidth="1"/>
    <col min="16" max="16" width="8.7109375" style="78" customWidth="1"/>
    <col min="17" max="17" width="9.140625" style="78" customWidth="1"/>
    <col min="18" max="18" width="3.140625" customWidth="1"/>
  </cols>
  <sheetData>
    <row r="1" spans="1:17" x14ac:dyDescent="0.25">
      <c r="A1" s="5"/>
      <c r="B1" s="78"/>
      <c r="D1" s="306"/>
      <c r="E1" s="348" t="s">
        <v>114</v>
      </c>
      <c r="F1" s="349"/>
      <c r="G1" s="349"/>
      <c r="H1" s="307"/>
      <c r="I1" s="306"/>
      <c r="J1" s="348" t="s">
        <v>141</v>
      </c>
      <c r="K1" s="349"/>
      <c r="L1" s="349"/>
      <c r="M1" s="308"/>
      <c r="N1" s="306"/>
      <c r="O1" s="348" t="s">
        <v>115</v>
      </c>
      <c r="P1" s="349"/>
      <c r="Q1" s="349"/>
    </row>
    <row r="2" spans="1:17" ht="25.5" customHeight="1" x14ac:dyDescent="0.25">
      <c r="A2" s="5"/>
      <c r="B2" s="350"/>
      <c r="D2" s="309" t="s">
        <v>113</v>
      </c>
      <c r="E2" s="309" t="s">
        <v>110</v>
      </c>
      <c r="F2" s="309" t="s">
        <v>111</v>
      </c>
      <c r="G2" s="310" t="s">
        <v>112</v>
      </c>
      <c r="H2" s="311"/>
      <c r="I2" s="309" t="s">
        <v>113</v>
      </c>
      <c r="J2" s="309" t="s">
        <v>110</v>
      </c>
      <c r="K2" s="309" t="s">
        <v>111</v>
      </c>
      <c r="L2" s="310" t="s">
        <v>112</v>
      </c>
      <c r="M2" s="308"/>
      <c r="N2" s="309" t="s">
        <v>113</v>
      </c>
      <c r="O2" s="309" t="s">
        <v>110</v>
      </c>
      <c r="P2" s="309" t="s">
        <v>111</v>
      </c>
      <c r="Q2" s="310" t="s">
        <v>112</v>
      </c>
    </row>
    <row r="3" spans="1:17" hidden="1" x14ac:dyDescent="0.25">
      <c r="A3" s="5"/>
      <c r="B3" s="350"/>
      <c r="D3" s="226"/>
      <c r="E3" s="226"/>
      <c r="F3" s="226"/>
      <c r="G3" s="227"/>
      <c r="I3" s="226"/>
      <c r="J3" s="226"/>
      <c r="K3" s="226"/>
      <c r="L3" s="227"/>
      <c r="N3" s="226"/>
      <c r="O3" s="226"/>
      <c r="P3" s="226"/>
      <c r="Q3" s="227"/>
    </row>
    <row r="4" spans="1:17" x14ac:dyDescent="0.25">
      <c r="A4" s="4"/>
      <c r="B4" s="80"/>
      <c r="D4" s="339">
        <v>1</v>
      </c>
      <c r="E4" s="340" t="s">
        <v>214</v>
      </c>
      <c r="F4" s="239"/>
      <c r="G4" s="345"/>
      <c r="I4" s="228">
        <v>1</v>
      </c>
      <c r="J4" s="229" t="s">
        <v>116</v>
      </c>
      <c r="K4" s="239"/>
      <c r="L4" s="239"/>
      <c r="N4" s="228">
        <v>1</v>
      </c>
      <c r="O4" s="229" t="s">
        <v>66</v>
      </c>
      <c r="P4" s="239"/>
      <c r="Q4" s="239"/>
    </row>
    <row r="5" spans="1:17" x14ac:dyDescent="0.25">
      <c r="B5" s="243"/>
      <c r="D5" s="341">
        <v>2</v>
      </c>
      <c r="E5" s="342" t="s">
        <v>67</v>
      </c>
      <c r="F5" s="240"/>
      <c r="G5" s="346">
        <v>1</v>
      </c>
      <c r="I5" s="230">
        <v>2</v>
      </c>
      <c r="J5" s="78" t="s">
        <v>151</v>
      </c>
      <c r="K5" s="240"/>
      <c r="L5" s="241"/>
      <c r="N5" s="230">
        <v>2</v>
      </c>
      <c r="O5" s="231" t="s">
        <v>67</v>
      </c>
      <c r="P5" s="240"/>
      <c r="Q5" s="241">
        <v>1</v>
      </c>
    </row>
    <row r="6" spans="1:17" ht="30" x14ac:dyDescent="0.25">
      <c r="B6" s="80"/>
      <c r="D6" s="341">
        <v>3</v>
      </c>
      <c r="E6" s="343" t="s">
        <v>108</v>
      </c>
      <c r="F6" s="240"/>
      <c r="G6" s="346">
        <v>2</v>
      </c>
      <c r="I6" s="230">
        <v>3</v>
      </c>
      <c r="J6" s="78" t="s">
        <v>152</v>
      </c>
      <c r="K6" s="240"/>
      <c r="L6" s="241"/>
      <c r="N6" s="230">
        <v>3</v>
      </c>
      <c r="O6" s="242" t="s">
        <v>108</v>
      </c>
      <c r="P6" s="240"/>
      <c r="Q6" s="241">
        <v>2</v>
      </c>
    </row>
    <row r="7" spans="1:17" ht="30" x14ac:dyDescent="0.25">
      <c r="B7" s="80"/>
      <c r="D7" s="341">
        <v>4</v>
      </c>
      <c r="E7" s="343" t="s">
        <v>215</v>
      </c>
      <c r="F7" s="240"/>
      <c r="G7" s="346">
        <v>3</v>
      </c>
      <c r="I7" s="230">
        <v>4</v>
      </c>
      <c r="J7" s="231" t="s">
        <v>117</v>
      </c>
      <c r="K7" s="240"/>
      <c r="L7" s="241"/>
      <c r="N7" s="230">
        <v>4</v>
      </c>
      <c r="O7" s="242" t="s">
        <v>109</v>
      </c>
      <c r="P7" s="240"/>
      <c r="Q7" s="241">
        <v>3</v>
      </c>
    </row>
    <row r="8" spans="1:17" x14ac:dyDescent="0.25">
      <c r="B8" s="80"/>
      <c r="D8" s="341">
        <v>5</v>
      </c>
      <c r="E8" s="344" t="s">
        <v>68</v>
      </c>
      <c r="F8" s="240"/>
      <c r="G8" s="346">
        <v>4</v>
      </c>
      <c r="I8" s="230">
        <v>5</v>
      </c>
      <c r="J8" s="242" t="s">
        <v>118</v>
      </c>
      <c r="K8" s="240"/>
      <c r="L8" s="241"/>
      <c r="N8" s="230">
        <v>5</v>
      </c>
      <c r="O8" s="234" t="s">
        <v>68</v>
      </c>
      <c r="P8" s="240"/>
      <c r="Q8" s="241">
        <v>4</v>
      </c>
    </row>
    <row r="9" spans="1:17" x14ac:dyDescent="0.25">
      <c r="B9" s="80"/>
      <c r="D9" s="341">
        <v>6</v>
      </c>
      <c r="E9" s="344" t="s">
        <v>69</v>
      </c>
      <c r="F9" s="240"/>
      <c r="G9" s="346">
        <v>5</v>
      </c>
      <c r="I9" s="230">
        <v>6</v>
      </c>
      <c r="J9" s="242" t="s">
        <v>119</v>
      </c>
      <c r="K9" s="240"/>
      <c r="L9" s="241"/>
      <c r="N9" s="230">
        <v>6</v>
      </c>
      <c r="O9" s="234" t="s">
        <v>69</v>
      </c>
      <c r="P9" s="240"/>
      <c r="Q9" s="241">
        <v>5</v>
      </c>
    </row>
    <row r="10" spans="1:17" x14ac:dyDescent="0.25">
      <c r="D10" s="341">
        <v>7</v>
      </c>
      <c r="E10" s="344" t="s">
        <v>70</v>
      </c>
      <c r="F10" s="240"/>
      <c r="G10" s="346">
        <v>4</v>
      </c>
      <c r="I10" s="230">
        <v>7</v>
      </c>
      <c r="J10" s="234" t="s">
        <v>120</v>
      </c>
      <c r="K10" s="240"/>
      <c r="L10" s="241"/>
      <c r="N10" s="230">
        <v>7</v>
      </c>
      <c r="O10" s="234" t="s">
        <v>70</v>
      </c>
      <c r="P10" s="240"/>
      <c r="Q10" s="241">
        <v>4</v>
      </c>
    </row>
    <row r="11" spans="1:17" x14ac:dyDescent="0.25">
      <c r="D11" s="341">
        <v>8</v>
      </c>
      <c r="E11" s="342" t="s">
        <v>216</v>
      </c>
      <c r="F11" s="240"/>
      <c r="G11" s="346">
        <v>7</v>
      </c>
      <c r="I11" s="230">
        <v>8</v>
      </c>
      <c r="J11" s="234" t="s">
        <v>121</v>
      </c>
      <c r="K11" s="240"/>
      <c r="L11" s="241"/>
      <c r="N11" s="230">
        <v>8</v>
      </c>
      <c r="O11" s="231" t="s">
        <v>71</v>
      </c>
      <c r="P11" s="240"/>
      <c r="Q11" s="241">
        <v>4</v>
      </c>
    </row>
    <row r="12" spans="1:17" x14ac:dyDescent="0.25">
      <c r="D12" s="341">
        <v>9</v>
      </c>
      <c r="E12" s="342" t="s">
        <v>72</v>
      </c>
      <c r="F12" s="240"/>
      <c r="G12" s="346">
        <v>8</v>
      </c>
      <c r="I12" s="230">
        <v>9</v>
      </c>
      <c r="J12" s="234" t="s">
        <v>122</v>
      </c>
      <c r="K12" s="240"/>
      <c r="L12" s="241"/>
      <c r="N12" s="230">
        <v>9</v>
      </c>
      <c r="O12" s="231" t="s">
        <v>72</v>
      </c>
      <c r="P12" s="240"/>
      <c r="Q12" s="241">
        <v>7</v>
      </c>
    </row>
    <row r="13" spans="1:17" x14ac:dyDescent="0.25">
      <c r="D13" s="341">
        <v>10</v>
      </c>
      <c r="E13" s="342" t="s">
        <v>71</v>
      </c>
      <c r="F13" s="232"/>
      <c r="G13" s="347">
        <v>7</v>
      </c>
      <c r="I13" s="230">
        <v>10</v>
      </c>
      <c r="J13" s="231" t="s">
        <v>123</v>
      </c>
      <c r="K13" s="232"/>
      <c r="L13" s="233"/>
      <c r="N13" s="230">
        <v>10</v>
      </c>
      <c r="O13" s="231" t="s">
        <v>73</v>
      </c>
      <c r="P13" s="232"/>
      <c r="Q13" s="233">
        <v>6</v>
      </c>
    </row>
    <row r="14" spans="1:17" x14ac:dyDescent="0.25">
      <c r="D14" s="341">
        <v>11</v>
      </c>
      <c r="E14" s="342" t="s">
        <v>73</v>
      </c>
      <c r="F14" s="232"/>
      <c r="G14" s="347">
        <v>6</v>
      </c>
      <c r="I14" s="230">
        <v>11</v>
      </c>
      <c r="J14" s="231" t="s">
        <v>124</v>
      </c>
      <c r="K14" s="232"/>
      <c r="L14" s="233"/>
      <c r="N14" s="230">
        <v>11</v>
      </c>
      <c r="O14" s="231" t="s">
        <v>74</v>
      </c>
      <c r="P14" s="232"/>
      <c r="Q14" s="233">
        <v>5</v>
      </c>
    </row>
    <row r="15" spans="1:17" x14ac:dyDescent="0.25">
      <c r="D15" s="341">
        <v>12</v>
      </c>
      <c r="E15" s="342" t="s">
        <v>74</v>
      </c>
      <c r="F15" s="232"/>
      <c r="G15" s="347">
        <v>5</v>
      </c>
      <c r="I15" s="230">
        <v>12</v>
      </c>
      <c r="J15" s="231" t="s">
        <v>125</v>
      </c>
      <c r="K15" s="232"/>
      <c r="L15" s="233"/>
      <c r="N15" s="230">
        <v>12</v>
      </c>
      <c r="O15" s="231" t="s">
        <v>82</v>
      </c>
      <c r="P15" s="232"/>
      <c r="Q15" s="233">
        <v>10</v>
      </c>
    </row>
    <row r="16" spans="1:17" x14ac:dyDescent="0.25">
      <c r="D16" s="341">
        <v>13</v>
      </c>
      <c r="E16" s="342" t="s">
        <v>82</v>
      </c>
      <c r="F16" s="232"/>
      <c r="G16" s="347">
        <v>11</v>
      </c>
      <c r="I16" s="230">
        <v>13</v>
      </c>
      <c r="J16" s="231" t="s">
        <v>126</v>
      </c>
      <c r="K16" s="232"/>
      <c r="L16" s="233"/>
      <c r="N16" s="230">
        <v>13</v>
      </c>
      <c r="O16" s="231" t="s">
        <v>75</v>
      </c>
      <c r="P16" s="232"/>
      <c r="Q16" s="233">
        <v>12</v>
      </c>
    </row>
    <row r="17" spans="4:17" x14ac:dyDescent="0.25">
      <c r="D17" s="341">
        <v>14</v>
      </c>
      <c r="E17" s="342" t="s">
        <v>75</v>
      </c>
      <c r="F17" s="232"/>
      <c r="G17" s="347">
        <v>13</v>
      </c>
      <c r="I17" s="230">
        <v>14</v>
      </c>
      <c r="J17" s="231" t="s">
        <v>127</v>
      </c>
      <c r="K17" s="232"/>
      <c r="L17" s="233"/>
      <c r="N17" s="230">
        <v>14</v>
      </c>
      <c r="O17" s="231" t="s">
        <v>76</v>
      </c>
      <c r="P17" s="232"/>
      <c r="Q17" s="233">
        <v>13</v>
      </c>
    </row>
    <row r="18" spans="4:17" x14ac:dyDescent="0.25">
      <c r="D18" s="341">
        <v>15</v>
      </c>
      <c r="E18" s="342" t="s">
        <v>217</v>
      </c>
      <c r="F18" s="232"/>
      <c r="G18" s="347">
        <v>14</v>
      </c>
      <c r="I18" s="230">
        <v>15</v>
      </c>
      <c r="J18" s="231" t="s">
        <v>128</v>
      </c>
      <c r="K18" s="232"/>
      <c r="L18" s="233"/>
      <c r="N18" s="230">
        <v>15</v>
      </c>
      <c r="O18" s="231" t="s">
        <v>77</v>
      </c>
      <c r="P18" s="232"/>
      <c r="Q18" s="233">
        <v>14</v>
      </c>
    </row>
    <row r="19" spans="4:17" x14ac:dyDescent="0.25">
      <c r="D19" s="341">
        <v>16</v>
      </c>
      <c r="E19" s="342" t="s">
        <v>77</v>
      </c>
      <c r="F19" s="232"/>
      <c r="G19" s="347">
        <v>15</v>
      </c>
      <c r="I19" s="230">
        <v>16</v>
      </c>
      <c r="J19" s="231" t="s">
        <v>74</v>
      </c>
      <c r="K19" s="232"/>
      <c r="L19" s="233"/>
      <c r="N19" s="230">
        <v>16</v>
      </c>
      <c r="O19" s="231" t="s">
        <v>83</v>
      </c>
      <c r="P19" s="232"/>
      <c r="Q19" s="233">
        <v>15</v>
      </c>
    </row>
    <row r="20" spans="4:17" x14ac:dyDescent="0.25">
      <c r="D20" s="341">
        <v>17</v>
      </c>
      <c r="E20" s="342" t="s">
        <v>83</v>
      </c>
      <c r="F20" s="232"/>
      <c r="G20" s="347">
        <v>16</v>
      </c>
      <c r="I20" s="230">
        <v>17</v>
      </c>
      <c r="J20" s="231" t="s">
        <v>129</v>
      </c>
      <c r="K20" s="232"/>
      <c r="L20" s="233"/>
      <c r="N20" s="230">
        <v>17</v>
      </c>
      <c r="O20" s="231" t="s">
        <v>78</v>
      </c>
      <c r="P20" s="232"/>
      <c r="Q20" s="233">
        <v>16</v>
      </c>
    </row>
    <row r="21" spans="4:17" x14ac:dyDescent="0.25">
      <c r="D21" s="230">
        <v>18</v>
      </c>
      <c r="E21" s="231" t="s">
        <v>78</v>
      </c>
      <c r="F21" s="232"/>
      <c r="G21" s="347">
        <v>17</v>
      </c>
      <c r="I21" s="230">
        <v>18</v>
      </c>
      <c r="J21" s="231" t="s">
        <v>142</v>
      </c>
      <c r="K21" s="232"/>
      <c r="L21" s="233"/>
      <c r="N21" s="230"/>
      <c r="O21" s="231"/>
      <c r="P21" s="232"/>
      <c r="Q21" s="233"/>
    </row>
    <row r="22" spans="4:17" x14ac:dyDescent="0.25">
      <c r="D22" s="230"/>
      <c r="E22" s="234"/>
      <c r="F22" s="232"/>
      <c r="G22" s="233"/>
      <c r="I22" s="230">
        <v>19</v>
      </c>
      <c r="J22" s="231" t="s">
        <v>143</v>
      </c>
      <c r="K22" s="232"/>
      <c r="L22" s="233"/>
      <c r="N22" s="230"/>
      <c r="O22" s="234"/>
      <c r="P22" s="232"/>
      <c r="Q22" s="233"/>
    </row>
    <row r="23" spans="4:17" x14ac:dyDescent="0.25">
      <c r="D23" s="230"/>
      <c r="E23" s="234"/>
      <c r="F23" s="232"/>
      <c r="G23" s="233"/>
      <c r="I23" s="230">
        <v>20</v>
      </c>
      <c r="J23" s="231" t="s">
        <v>130</v>
      </c>
      <c r="K23" s="232"/>
      <c r="L23" s="233"/>
      <c r="N23" s="230"/>
      <c r="O23" s="234"/>
      <c r="P23" s="232"/>
      <c r="Q23" s="233"/>
    </row>
    <row r="24" spans="4:17" x14ac:dyDescent="0.25">
      <c r="D24" s="230"/>
      <c r="E24" s="231"/>
      <c r="F24" s="232"/>
      <c r="G24" s="233"/>
      <c r="I24" s="230">
        <v>21</v>
      </c>
      <c r="J24" s="234" t="s">
        <v>131</v>
      </c>
      <c r="K24" s="232"/>
      <c r="L24" s="233"/>
      <c r="N24" s="230"/>
      <c r="O24" s="231"/>
      <c r="P24" s="232"/>
      <c r="Q24" s="233"/>
    </row>
    <row r="25" spans="4:17" x14ac:dyDescent="0.25">
      <c r="D25" s="230"/>
      <c r="E25" s="231"/>
      <c r="F25" s="232"/>
      <c r="G25" s="233"/>
      <c r="I25" s="230">
        <v>22</v>
      </c>
      <c r="J25" s="231" t="s">
        <v>136</v>
      </c>
      <c r="K25" s="232"/>
      <c r="L25" s="233"/>
      <c r="N25" s="230"/>
      <c r="O25" s="231"/>
      <c r="P25" s="232"/>
      <c r="Q25" s="233"/>
    </row>
    <row r="26" spans="4:17" x14ac:dyDescent="0.25">
      <c r="D26" s="230"/>
      <c r="E26" s="231"/>
      <c r="F26" s="232"/>
      <c r="G26" s="233"/>
      <c r="I26" s="230">
        <v>23</v>
      </c>
      <c r="J26" s="234" t="s">
        <v>132</v>
      </c>
      <c r="K26" s="232"/>
      <c r="L26" s="233"/>
      <c r="N26" s="230"/>
      <c r="O26" s="231"/>
      <c r="P26" s="232"/>
      <c r="Q26" s="233"/>
    </row>
    <row r="27" spans="4:17" x14ac:dyDescent="0.25">
      <c r="D27" s="230"/>
      <c r="E27" s="231"/>
      <c r="F27" s="232"/>
      <c r="G27" s="233"/>
      <c r="I27" s="230">
        <v>24</v>
      </c>
      <c r="J27" s="231" t="s">
        <v>133</v>
      </c>
      <c r="K27" s="232"/>
      <c r="L27" s="233"/>
      <c r="N27" s="230"/>
      <c r="O27" s="231"/>
      <c r="P27" s="232"/>
      <c r="Q27" s="233"/>
    </row>
    <row r="28" spans="4:17" x14ac:dyDescent="0.25">
      <c r="D28" s="230"/>
      <c r="E28" s="231"/>
      <c r="F28" s="232"/>
      <c r="G28" s="233"/>
      <c r="I28" s="230">
        <v>25</v>
      </c>
      <c r="J28" s="231" t="s">
        <v>134</v>
      </c>
      <c r="K28" s="232"/>
      <c r="L28" s="233"/>
      <c r="N28" s="230"/>
      <c r="O28" s="231"/>
      <c r="P28" s="232"/>
      <c r="Q28" s="233"/>
    </row>
    <row r="29" spans="4:17" x14ac:dyDescent="0.25">
      <c r="D29" s="230"/>
      <c r="E29" s="231"/>
      <c r="F29" s="232"/>
      <c r="G29" s="233"/>
      <c r="I29" s="230">
        <v>26</v>
      </c>
      <c r="J29" s="231" t="s">
        <v>135</v>
      </c>
      <c r="K29" s="232"/>
      <c r="L29" s="233"/>
      <c r="N29" s="230"/>
      <c r="O29" s="231"/>
      <c r="P29" s="232"/>
      <c r="Q29" s="233"/>
    </row>
    <row r="30" spans="4:17" x14ac:dyDescent="0.25">
      <c r="D30" s="230"/>
      <c r="E30" s="231"/>
      <c r="F30" s="232"/>
      <c r="G30" s="233"/>
      <c r="I30" s="230">
        <v>27</v>
      </c>
      <c r="J30" s="231" t="s">
        <v>78</v>
      </c>
      <c r="K30" s="232"/>
      <c r="L30" s="233"/>
      <c r="N30" s="230"/>
      <c r="O30" s="231"/>
      <c r="P30" s="232"/>
      <c r="Q30" s="233"/>
    </row>
    <row r="31" spans="4:17" x14ac:dyDescent="0.25">
      <c r="D31" s="230"/>
      <c r="E31" s="231"/>
      <c r="F31" s="232"/>
      <c r="G31" s="233"/>
      <c r="I31" s="230">
        <v>28</v>
      </c>
      <c r="J31" s="231" t="s">
        <v>137</v>
      </c>
      <c r="K31" s="232"/>
      <c r="L31" s="233"/>
      <c r="N31" s="230"/>
      <c r="O31" s="231"/>
      <c r="P31" s="232"/>
      <c r="Q31" s="233"/>
    </row>
    <row r="32" spans="4:17" x14ac:dyDescent="0.25">
      <c r="D32" s="230"/>
      <c r="E32" s="231"/>
      <c r="F32" s="232"/>
      <c r="G32" s="233"/>
      <c r="I32" s="230">
        <v>29</v>
      </c>
      <c r="J32" s="231" t="s">
        <v>138</v>
      </c>
      <c r="K32" s="232"/>
      <c r="L32" s="233"/>
      <c r="N32" s="230"/>
      <c r="O32" s="231"/>
      <c r="P32" s="232"/>
      <c r="Q32" s="233"/>
    </row>
    <row r="33" spans="4:17" x14ac:dyDescent="0.25">
      <c r="D33" s="230"/>
      <c r="E33" s="231"/>
      <c r="F33" s="232"/>
      <c r="G33" s="233"/>
      <c r="I33" s="230"/>
      <c r="J33" s="231"/>
      <c r="K33" s="232"/>
      <c r="L33" s="233"/>
      <c r="N33" s="230"/>
      <c r="O33" s="231"/>
      <c r="P33" s="232"/>
      <c r="Q33" s="233"/>
    </row>
    <row r="34" spans="4:17" x14ac:dyDescent="0.25">
      <c r="D34" s="230"/>
      <c r="E34" s="231"/>
      <c r="F34" s="232"/>
      <c r="G34" s="233"/>
      <c r="I34" s="230"/>
      <c r="J34" s="231"/>
      <c r="K34" s="232"/>
      <c r="L34" s="233"/>
      <c r="N34" s="230"/>
      <c r="O34" s="231"/>
      <c r="P34" s="232"/>
      <c r="Q34" s="233"/>
    </row>
    <row r="35" spans="4:17" x14ac:dyDescent="0.25">
      <c r="D35" s="230"/>
      <c r="E35" s="235"/>
      <c r="F35" s="232"/>
      <c r="G35" s="233"/>
      <c r="I35" s="230"/>
      <c r="J35" s="235"/>
      <c r="K35" s="232"/>
      <c r="L35" s="233"/>
      <c r="N35" s="230"/>
      <c r="O35" s="235"/>
      <c r="P35" s="232"/>
      <c r="Q35" s="233"/>
    </row>
    <row r="36" spans="4:17" x14ac:dyDescent="0.25">
      <c r="D36" s="230"/>
      <c r="E36" s="231"/>
      <c r="F36" s="232"/>
      <c r="G36" s="233"/>
      <c r="I36" s="230"/>
      <c r="J36" s="231"/>
      <c r="K36" s="232"/>
      <c r="L36" s="233"/>
      <c r="N36" s="230"/>
      <c r="O36" s="231"/>
      <c r="P36" s="232"/>
      <c r="Q36" s="233"/>
    </row>
    <row r="37" spans="4:17" x14ac:dyDescent="0.25">
      <c r="D37" s="230"/>
      <c r="E37" s="231"/>
      <c r="F37" s="232"/>
      <c r="G37" s="233"/>
      <c r="I37" s="230"/>
      <c r="J37" s="231"/>
      <c r="K37" s="232"/>
      <c r="L37" s="233"/>
      <c r="N37" s="230"/>
      <c r="O37" s="231"/>
      <c r="P37" s="232"/>
      <c r="Q37" s="233"/>
    </row>
    <row r="38" spans="4:17" x14ac:dyDescent="0.25">
      <c r="D38" s="230"/>
      <c r="E38" s="231"/>
      <c r="F38" s="232"/>
      <c r="G38" s="233"/>
      <c r="I38" s="230"/>
      <c r="J38" s="231"/>
      <c r="K38" s="232"/>
      <c r="L38" s="233"/>
      <c r="N38" s="230"/>
      <c r="O38" s="231"/>
      <c r="P38" s="232"/>
      <c r="Q38" s="233"/>
    </row>
    <row r="39" spans="4:17" x14ac:dyDescent="0.25">
      <c r="D39" s="230"/>
      <c r="E39" s="231"/>
      <c r="F39" s="232"/>
      <c r="G39" s="233"/>
      <c r="I39" s="230"/>
      <c r="J39" s="231"/>
      <c r="K39" s="232"/>
      <c r="L39" s="233"/>
      <c r="N39" s="230"/>
      <c r="O39" s="231"/>
      <c r="P39" s="232"/>
      <c r="Q39" s="233"/>
    </row>
    <row r="40" spans="4:17" x14ac:dyDescent="0.25">
      <c r="D40" s="230"/>
      <c r="E40" s="231"/>
      <c r="F40" s="232"/>
      <c r="G40" s="233"/>
      <c r="I40" s="230"/>
      <c r="J40" s="231"/>
      <c r="K40" s="232"/>
      <c r="L40" s="233"/>
      <c r="N40" s="230"/>
      <c r="O40" s="231"/>
      <c r="P40" s="232"/>
      <c r="Q40" s="233"/>
    </row>
    <row r="41" spans="4:17" x14ac:dyDescent="0.25">
      <c r="D41" s="230"/>
      <c r="E41" s="231"/>
      <c r="F41" s="232"/>
      <c r="G41" s="233"/>
      <c r="I41" s="230"/>
      <c r="J41" s="231"/>
      <c r="K41" s="232"/>
      <c r="L41" s="233"/>
      <c r="N41" s="230"/>
      <c r="O41" s="231"/>
      <c r="P41" s="232"/>
      <c r="Q41" s="233"/>
    </row>
    <row r="42" spans="4:17" x14ac:dyDescent="0.25">
      <c r="D42" s="230"/>
      <c r="E42" s="231"/>
      <c r="F42" s="232"/>
      <c r="G42" s="233"/>
      <c r="I42" s="230"/>
      <c r="J42" s="231"/>
      <c r="K42" s="232"/>
      <c r="L42" s="233"/>
      <c r="N42" s="230"/>
      <c r="O42" s="231"/>
      <c r="P42" s="232"/>
      <c r="Q42" s="233"/>
    </row>
    <row r="43" spans="4:17" x14ac:dyDescent="0.25">
      <c r="D43" s="230"/>
      <c r="E43" s="235"/>
      <c r="F43" s="232"/>
      <c r="G43" s="233"/>
      <c r="I43" s="230"/>
      <c r="J43" s="235"/>
      <c r="K43" s="232"/>
      <c r="L43" s="233"/>
      <c r="N43" s="230"/>
      <c r="O43" s="235"/>
      <c r="P43" s="232"/>
      <c r="Q43" s="233"/>
    </row>
    <row r="44" spans="4:17" x14ac:dyDescent="0.25">
      <c r="D44" s="230"/>
      <c r="E44" s="231"/>
      <c r="F44" s="232"/>
      <c r="G44" s="233"/>
      <c r="I44" s="230"/>
      <c r="J44" s="231"/>
      <c r="K44" s="232"/>
      <c r="L44" s="233"/>
      <c r="N44" s="230"/>
      <c r="O44" s="231"/>
      <c r="P44" s="232"/>
      <c r="Q44" s="233"/>
    </row>
    <row r="45" spans="4:17" x14ac:dyDescent="0.25">
      <c r="D45" s="230"/>
      <c r="E45" s="231"/>
      <c r="F45" s="232"/>
      <c r="G45" s="233"/>
      <c r="I45" s="230"/>
      <c r="J45" s="231"/>
      <c r="K45" s="232"/>
      <c r="L45" s="233"/>
      <c r="N45" s="230"/>
      <c r="O45" s="231"/>
      <c r="P45" s="232"/>
      <c r="Q45" s="233"/>
    </row>
    <row r="46" spans="4:17" x14ac:dyDescent="0.25">
      <c r="D46" s="230"/>
      <c r="E46" s="231"/>
      <c r="F46" s="232"/>
      <c r="G46" s="233"/>
      <c r="I46" s="230"/>
      <c r="J46" s="231"/>
      <c r="K46" s="232"/>
      <c r="L46" s="233"/>
      <c r="N46" s="230"/>
      <c r="O46" s="231"/>
      <c r="P46" s="232"/>
      <c r="Q46" s="233"/>
    </row>
    <row r="47" spans="4:17" x14ac:dyDescent="0.25">
      <c r="D47" s="230"/>
      <c r="E47" s="231"/>
      <c r="F47" s="232"/>
      <c r="G47" s="233"/>
      <c r="I47" s="230"/>
      <c r="J47" s="231"/>
      <c r="K47" s="232"/>
      <c r="L47" s="233"/>
      <c r="N47" s="230"/>
      <c r="O47" s="231"/>
      <c r="P47" s="232"/>
      <c r="Q47" s="233"/>
    </row>
    <row r="48" spans="4:17" x14ac:dyDescent="0.25">
      <c r="D48" s="230"/>
      <c r="E48" s="231"/>
      <c r="F48" s="232"/>
      <c r="G48" s="233"/>
      <c r="I48" s="230"/>
      <c r="J48" s="231"/>
      <c r="K48" s="232"/>
      <c r="L48" s="233"/>
      <c r="N48" s="230"/>
      <c r="O48" s="231"/>
      <c r="P48" s="232"/>
      <c r="Q48" s="233"/>
    </row>
    <row r="49" spans="4:17" x14ac:dyDescent="0.25">
      <c r="D49" s="230"/>
      <c r="E49" s="231"/>
      <c r="F49" s="232"/>
      <c r="G49" s="233"/>
      <c r="I49" s="230"/>
      <c r="J49" s="231"/>
      <c r="K49" s="232"/>
      <c r="L49" s="233"/>
      <c r="N49" s="230"/>
      <c r="O49" s="231"/>
      <c r="P49" s="232"/>
      <c r="Q49" s="233"/>
    </row>
    <row r="50" spans="4:17" x14ac:dyDescent="0.25">
      <c r="D50" s="230"/>
      <c r="E50" s="231"/>
      <c r="F50" s="232"/>
      <c r="G50" s="233"/>
      <c r="I50" s="230"/>
      <c r="J50" s="231"/>
      <c r="K50" s="232"/>
      <c r="L50" s="233"/>
      <c r="N50" s="230"/>
      <c r="O50" s="231"/>
      <c r="P50" s="232"/>
      <c r="Q50" s="233"/>
    </row>
    <row r="51" spans="4:17" x14ac:dyDescent="0.25">
      <c r="D51" s="230"/>
      <c r="E51" s="235"/>
      <c r="F51" s="232"/>
      <c r="G51" s="233"/>
      <c r="I51" s="230"/>
      <c r="J51" s="235"/>
      <c r="K51" s="232"/>
      <c r="L51" s="233"/>
      <c r="N51" s="230"/>
      <c r="O51" s="235"/>
      <c r="P51" s="232"/>
      <c r="Q51" s="233"/>
    </row>
    <row r="52" spans="4:17" x14ac:dyDescent="0.25">
      <c r="D52" s="230"/>
      <c r="E52" s="231"/>
      <c r="F52" s="232"/>
      <c r="G52" s="233"/>
      <c r="I52" s="230"/>
      <c r="J52" s="231"/>
      <c r="K52" s="232"/>
      <c r="L52" s="233"/>
      <c r="N52" s="230"/>
      <c r="O52" s="231"/>
      <c r="P52" s="232"/>
      <c r="Q52" s="233"/>
    </row>
    <row r="53" spans="4:17" x14ac:dyDescent="0.25">
      <c r="D53" s="230"/>
      <c r="E53" s="231"/>
      <c r="F53" s="232"/>
      <c r="G53" s="233"/>
      <c r="I53" s="230"/>
      <c r="J53" s="231"/>
      <c r="K53" s="232"/>
      <c r="L53" s="233"/>
      <c r="N53" s="230"/>
      <c r="O53" s="231"/>
      <c r="P53" s="232"/>
      <c r="Q53" s="233"/>
    </row>
    <row r="54" spans="4:17" x14ac:dyDescent="0.25">
      <c r="D54" s="230"/>
      <c r="E54" s="231"/>
      <c r="F54" s="232"/>
      <c r="G54" s="233"/>
      <c r="I54" s="230"/>
      <c r="J54" s="231"/>
      <c r="K54" s="232"/>
      <c r="L54" s="233"/>
      <c r="N54" s="230"/>
      <c r="O54" s="231"/>
      <c r="P54" s="232"/>
      <c r="Q54" s="233"/>
    </row>
    <row r="55" spans="4:17" x14ac:dyDescent="0.25">
      <c r="D55" s="230"/>
      <c r="E55" s="231"/>
      <c r="F55" s="232"/>
      <c r="G55" s="233"/>
      <c r="I55" s="230"/>
      <c r="J55" s="231"/>
      <c r="K55" s="232"/>
      <c r="L55" s="233"/>
      <c r="N55" s="230"/>
      <c r="O55" s="231"/>
      <c r="P55" s="232"/>
      <c r="Q55" s="233"/>
    </row>
    <row r="56" spans="4:17" x14ac:dyDescent="0.25">
      <c r="D56" s="230"/>
      <c r="E56" s="231"/>
      <c r="F56" s="232"/>
      <c r="G56" s="233"/>
      <c r="I56" s="230"/>
      <c r="J56" s="231"/>
      <c r="K56" s="232"/>
      <c r="L56" s="233"/>
      <c r="N56" s="230"/>
      <c r="O56" s="231"/>
      <c r="P56" s="232"/>
      <c r="Q56" s="233"/>
    </row>
    <row r="57" spans="4:17" x14ac:dyDescent="0.25">
      <c r="D57" s="230"/>
      <c r="E57" s="231"/>
      <c r="F57" s="232"/>
      <c r="G57" s="233"/>
      <c r="I57" s="230"/>
      <c r="J57" s="231"/>
      <c r="K57" s="232"/>
      <c r="L57" s="233"/>
      <c r="N57" s="230"/>
      <c r="O57" s="231"/>
      <c r="P57" s="232"/>
      <c r="Q57" s="233"/>
    </row>
    <row r="58" spans="4:17" x14ac:dyDescent="0.25">
      <c r="D58" s="236"/>
      <c r="E58" s="21"/>
      <c r="F58" s="237"/>
      <c r="G58" s="238"/>
      <c r="I58" s="236"/>
      <c r="J58" s="21"/>
      <c r="K58" s="237"/>
      <c r="L58" s="238"/>
      <c r="N58" s="236"/>
      <c r="O58" s="21"/>
      <c r="P58" s="237"/>
      <c r="Q58" s="238"/>
    </row>
    <row r="59" spans="4:17" x14ac:dyDescent="0.25">
      <c r="G59" s="238"/>
      <c r="L59" s="238"/>
      <c r="Q59" s="238"/>
    </row>
    <row r="60" spans="4:17" x14ac:dyDescent="0.25">
      <c r="G60" s="238"/>
      <c r="L60" s="238"/>
      <c r="Q60" s="238"/>
    </row>
  </sheetData>
  <dataConsolidate/>
  <mergeCells count="4">
    <mergeCell ref="O1:Q1"/>
    <mergeCell ref="B2:B3"/>
    <mergeCell ref="E1:G1"/>
    <mergeCell ref="J1:L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35010" r:id="rId4" name="onHoldEst1">
          <controlPr autoLine="0" r:id="rId5">
            <anchor moveWithCells="1">
              <from>
                <xdr:col>15</xdr:col>
                <xdr:colOff>219075</xdr:colOff>
                <xdr:row>3</xdr:row>
                <xdr:rowOff>28575</xdr:rowOff>
              </from>
              <to>
                <xdr:col>15</xdr:col>
                <xdr:colOff>514350</xdr:colOff>
                <xdr:row>4</xdr:row>
                <xdr:rowOff>28575</xdr:rowOff>
              </to>
            </anchor>
          </controlPr>
        </control>
      </mc:Choice>
      <mc:Fallback>
        <control shapeId="335010" r:id="rId4" name="onHoldEst1"/>
      </mc:Fallback>
    </mc:AlternateContent>
    <mc:AlternateContent xmlns:mc="http://schemas.openxmlformats.org/markup-compatibility/2006">
      <mc:Choice Requires="x14">
        <control shapeId="335009" r:id="rId6" name="onHoldEst54">
          <controlPr autoLine="0" r:id="rId7">
            <anchor moveWithCells="1">
              <from>
                <xdr:col>15</xdr:col>
                <xdr:colOff>276225</xdr:colOff>
                <xdr:row>56</xdr:row>
                <xdr:rowOff>28575</xdr:rowOff>
              </from>
              <to>
                <xdr:col>15</xdr:col>
                <xdr:colOff>561975</xdr:colOff>
                <xdr:row>57</xdr:row>
                <xdr:rowOff>28575</xdr:rowOff>
              </to>
            </anchor>
          </controlPr>
        </control>
      </mc:Choice>
      <mc:Fallback>
        <control shapeId="335009" r:id="rId6" name="onHoldEst54"/>
      </mc:Fallback>
    </mc:AlternateContent>
    <mc:AlternateContent xmlns:mc="http://schemas.openxmlformats.org/markup-compatibility/2006">
      <mc:Choice Requires="x14">
        <control shapeId="335008" r:id="rId8" name="onHoldEst53">
          <controlPr autoLine="0" r:id="rId7">
            <anchor moveWithCells="1">
              <from>
                <xdr:col>15</xdr:col>
                <xdr:colOff>276225</xdr:colOff>
                <xdr:row>55</xdr:row>
                <xdr:rowOff>9525</xdr:rowOff>
              </from>
              <to>
                <xdr:col>15</xdr:col>
                <xdr:colOff>561975</xdr:colOff>
                <xdr:row>56</xdr:row>
                <xdr:rowOff>9525</xdr:rowOff>
              </to>
            </anchor>
          </controlPr>
        </control>
      </mc:Choice>
      <mc:Fallback>
        <control shapeId="335008" r:id="rId8" name="onHoldEst53"/>
      </mc:Fallback>
    </mc:AlternateContent>
    <mc:AlternateContent xmlns:mc="http://schemas.openxmlformats.org/markup-compatibility/2006">
      <mc:Choice Requires="x14">
        <control shapeId="335007" r:id="rId9" name="onHoldEst52">
          <controlPr autoLine="0" r:id="rId7">
            <anchor moveWithCells="1">
              <from>
                <xdr:col>15</xdr:col>
                <xdr:colOff>276225</xdr:colOff>
                <xdr:row>54</xdr:row>
                <xdr:rowOff>0</xdr:rowOff>
              </from>
              <to>
                <xdr:col>15</xdr:col>
                <xdr:colOff>561975</xdr:colOff>
                <xdr:row>55</xdr:row>
                <xdr:rowOff>0</xdr:rowOff>
              </to>
            </anchor>
          </controlPr>
        </control>
      </mc:Choice>
      <mc:Fallback>
        <control shapeId="335007" r:id="rId9" name="onHoldEst52"/>
      </mc:Fallback>
    </mc:AlternateContent>
    <mc:AlternateContent xmlns:mc="http://schemas.openxmlformats.org/markup-compatibility/2006">
      <mc:Choice Requires="x14">
        <control shapeId="335006" r:id="rId10" name="onHoldEst51">
          <controlPr autoLine="0" r:id="rId7">
            <anchor moveWithCells="1">
              <from>
                <xdr:col>15</xdr:col>
                <xdr:colOff>276225</xdr:colOff>
                <xdr:row>53</xdr:row>
                <xdr:rowOff>0</xdr:rowOff>
              </from>
              <to>
                <xdr:col>15</xdr:col>
                <xdr:colOff>561975</xdr:colOff>
                <xdr:row>54</xdr:row>
                <xdr:rowOff>0</xdr:rowOff>
              </to>
            </anchor>
          </controlPr>
        </control>
      </mc:Choice>
      <mc:Fallback>
        <control shapeId="335006" r:id="rId10" name="onHoldEst51"/>
      </mc:Fallback>
    </mc:AlternateContent>
    <mc:AlternateContent xmlns:mc="http://schemas.openxmlformats.org/markup-compatibility/2006">
      <mc:Choice Requires="x14">
        <control shapeId="335005" r:id="rId11" name="onHoldEst50">
          <controlPr autoLine="0" r:id="rId7">
            <anchor moveWithCells="1">
              <from>
                <xdr:col>15</xdr:col>
                <xdr:colOff>276225</xdr:colOff>
                <xdr:row>52</xdr:row>
                <xdr:rowOff>9525</xdr:rowOff>
              </from>
              <to>
                <xdr:col>15</xdr:col>
                <xdr:colOff>561975</xdr:colOff>
                <xdr:row>53</xdr:row>
                <xdr:rowOff>9525</xdr:rowOff>
              </to>
            </anchor>
          </controlPr>
        </control>
      </mc:Choice>
      <mc:Fallback>
        <control shapeId="335005" r:id="rId11" name="onHoldEst50"/>
      </mc:Fallback>
    </mc:AlternateContent>
    <mc:AlternateContent xmlns:mc="http://schemas.openxmlformats.org/markup-compatibility/2006">
      <mc:Choice Requires="x14">
        <control shapeId="335004" r:id="rId12" name="onHoldEst49">
          <controlPr autoLine="0" r:id="rId7">
            <anchor moveWithCells="1">
              <from>
                <xdr:col>15</xdr:col>
                <xdr:colOff>266700</xdr:colOff>
                <xdr:row>50</xdr:row>
                <xdr:rowOff>171450</xdr:rowOff>
              </from>
              <to>
                <xdr:col>15</xdr:col>
                <xdr:colOff>552450</xdr:colOff>
                <xdr:row>51</xdr:row>
                <xdr:rowOff>171450</xdr:rowOff>
              </to>
            </anchor>
          </controlPr>
        </control>
      </mc:Choice>
      <mc:Fallback>
        <control shapeId="335004" r:id="rId12" name="onHoldEst49"/>
      </mc:Fallback>
    </mc:AlternateContent>
    <mc:AlternateContent xmlns:mc="http://schemas.openxmlformats.org/markup-compatibility/2006">
      <mc:Choice Requires="x14">
        <control shapeId="335003" r:id="rId13" name="onHoldEst48">
          <controlPr autoLine="0" r:id="rId7">
            <anchor moveWithCells="1">
              <from>
                <xdr:col>15</xdr:col>
                <xdr:colOff>266700</xdr:colOff>
                <xdr:row>50</xdr:row>
                <xdr:rowOff>0</xdr:rowOff>
              </from>
              <to>
                <xdr:col>15</xdr:col>
                <xdr:colOff>552450</xdr:colOff>
                <xdr:row>51</xdr:row>
                <xdr:rowOff>0</xdr:rowOff>
              </to>
            </anchor>
          </controlPr>
        </control>
      </mc:Choice>
      <mc:Fallback>
        <control shapeId="335003" r:id="rId13" name="onHoldEst48"/>
      </mc:Fallback>
    </mc:AlternateContent>
    <mc:AlternateContent xmlns:mc="http://schemas.openxmlformats.org/markup-compatibility/2006">
      <mc:Choice Requires="x14">
        <control shapeId="335002" r:id="rId14" name="onHoldEst47">
          <controlPr autoLine="0" r:id="rId7">
            <anchor moveWithCells="1">
              <from>
                <xdr:col>15</xdr:col>
                <xdr:colOff>266700</xdr:colOff>
                <xdr:row>49</xdr:row>
                <xdr:rowOff>0</xdr:rowOff>
              </from>
              <to>
                <xdr:col>15</xdr:col>
                <xdr:colOff>552450</xdr:colOff>
                <xdr:row>50</xdr:row>
                <xdr:rowOff>0</xdr:rowOff>
              </to>
            </anchor>
          </controlPr>
        </control>
      </mc:Choice>
      <mc:Fallback>
        <control shapeId="335002" r:id="rId14" name="onHoldEst47"/>
      </mc:Fallback>
    </mc:AlternateContent>
    <mc:AlternateContent xmlns:mc="http://schemas.openxmlformats.org/markup-compatibility/2006">
      <mc:Choice Requires="x14">
        <control shapeId="335001" r:id="rId15" name="onHoldEst46">
          <controlPr autoLine="0" r:id="rId7">
            <anchor moveWithCells="1">
              <from>
                <xdr:col>15</xdr:col>
                <xdr:colOff>266700</xdr:colOff>
                <xdr:row>48</xdr:row>
                <xdr:rowOff>0</xdr:rowOff>
              </from>
              <to>
                <xdr:col>15</xdr:col>
                <xdr:colOff>552450</xdr:colOff>
                <xdr:row>49</xdr:row>
                <xdr:rowOff>0</xdr:rowOff>
              </to>
            </anchor>
          </controlPr>
        </control>
      </mc:Choice>
      <mc:Fallback>
        <control shapeId="335001" r:id="rId15" name="onHoldEst46"/>
      </mc:Fallback>
    </mc:AlternateContent>
    <mc:AlternateContent xmlns:mc="http://schemas.openxmlformats.org/markup-compatibility/2006">
      <mc:Choice Requires="x14">
        <control shapeId="335000" r:id="rId16" name="onHoldEst45">
          <controlPr autoLine="0" r:id="rId7">
            <anchor moveWithCells="1">
              <from>
                <xdr:col>15</xdr:col>
                <xdr:colOff>276225</xdr:colOff>
                <xdr:row>47</xdr:row>
                <xdr:rowOff>9525</xdr:rowOff>
              </from>
              <to>
                <xdr:col>15</xdr:col>
                <xdr:colOff>561975</xdr:colOff>
                <xdr:row>48</xdr:row>
                <xdr:rowOff>9525</xdr:rowOff>
              </to>
            </anchor>
          </controlPr>
        </control>
      </mc:Choice>
      <mc:Fallback>
        <control shapeId="335000" r:id="rId16" name="onHoldEst45"/>
      </mc:Fallback>
    </mc:AlternateContent>
    <mc:AlternateContent xmlns:mc="http://schemas.openxmlformats.org/markup-compatibility/2006">
      <mc:Choice Requires="x14">
        <control shapeId="334999" r:id="rId17" name="onHoldEst44">
          <controlPr autoLine="0" r:id="rId7">
            <anchor moveWithCells="1">
              <from>
                <xdr:col>15</xdr:col>
                <xdr:colOff>285750</xdr:colOff>
                <xdr:row>46</xdr:row>
                <xdr:rowOff>0</xdr:rowOff>
              </from>
              <to>
                <xdr:col>15</xdr:col>
                <xdr:colOff>571500</xdr:colOff>
                <xdr:row>47</xdr:row>
                <xdr:rowOff>0</xdr:rowOff>
              </to>
            </anchor>
          </controlPr>
        </control>
      </mc:Choice>
      <mc:Fallback>
        <control shapeId="334999" r:id="rId17" name="onHoldEst44"/>
      </mc:Fallback>
    </mc:AlternateContent>
    <mc:AlternateContent xmlns:mc="http://schemas.openxmlformats.org/markup-compatibility/2006">
      <mc:Choice Requires="x14">
        <control shapeId="334998" r:id="rId18" name="onHoldEst43">
          <controlPr autoLine="0" r:id="rId7">
            <anchor moveWithCells="1">
              <from>
                <xdr:col>15</xdr:col>
                <xdr:colOff>285750</xdr:colOff>
                <xdr:row>45</xdr:row>
                <xdr:rowOff>19050</xdr:rowOff>
              </from>
              <to>
                <xdr:col>15</xdr:col>
                <xdr:colOff>571500</xdr:colOff>
                <xdr:row>46</xdr:row>
                <xdr:rowOff>19050</xdr:rowOff>
              </to>
            </anchor>
          </controlPr>
        </control>
      </mc:Choice>
      <mc:Fallback>
        <control shapeId="334998" r:id="rId18" name="onHoldEst43"/>
      </mc:Fallback>
    </mc:AlternateContent>
    <mc:AlternateContent xmlns:mc="http://schemas.openxmlformats.org/markup-compatibility/2006">
      <mc:Choice Requires="x14">
        <control shapeId="334997" r:id="rId19" name="onHoldEst42">
          <controlPr autoLine="0" r:id="rId7">
            <anchor moveWithCells="1">
              <from>
                <xdr:col>15</xdr:col>
                <xdr:colOff>285750</xdr:colOff>
                <xdr:row>44</xdr:row>
                <xdr:rowOff>9525</xdr:rowOff>
              </from>
              <to>
                <xdr:col>15</xdr:col>
                <xdr:colOff>571500</xdr:colOff>
                <xdr:row>45</xdr:row>
                <xdr:rowOff>9525</xdr:rowOff>
              </to>
            </anchor>
          </controlPr>
        </control>
      </mc:Choice>
      <mc:Fallback>
        <control shapeId="334997" r:id="rId19" name="onHoldEst42"/>
      </mc:Fallback>
    </mc:AlternateContent>
    <mc:AlternateContent xmlns:mc="http://schemas.openxmlformats.org/markup-compatibility/2006">
      <mc:Choice Requires="x14">
        <control shapeId="334996" r:id="rId20" name="onHoldEst41">
          <controlPr autoLine="0" r:id="rId7">
            <anchor moveWithCells="1">
              <from>
                <xdr:col>15</xdr:col>
                <xdr:colOff>285750</xdr:colOff>
                <xdr:row>43</xdr:row>
                <xdr:rowOff>9525</xdr:rowOff>
              </from>
              <to>
                <xdr:col>15</xdr:col>
                <xdr:colOff>571500</xdr:colOff>
                <xdr:row>44</xdr:row>
                <xdr:rowOff>9525</xdr:rowOff>
              </to>
            </anchor>
          </controlPr>
        </control>
      </mc:Choice>
      <mc:Fallback>
        <control shapeId="334996" r:id="rId20" name="onHoldEst41"/>
      </mc:Fallback>
    </mc:AlternateContent>
    <mc:AlternateContent xmlns:mc="http://schemas.openxmlformats.org/markup-compatibility/2006">
      <mc:Choice Requires="x14">
        <control shapeId="334995" r:id="rId21" name="onHoldEst40">
          <controlPr autoLine="0" r:id="rId7">
            <anchor moveWithCells="1">
              <from>
                <xdr:col>15</xdr:col>
                <xdr:colOff>285750</xdr:colOff>
                <xdr:row>42</xdr:row>
                <xdr:rowOff>19050</xdr:rowOff>
              </from>
              <to>
                <xdr:col>15</xdr:col>
                <xdr:colOff>571500</xdr:colOff>
                <xdr:row>43</xdr:row>
                <xdr:rowOff>19050</xdr:rowOff>
              </to>
            </anchor>
          </controlPr>
        </control>
      </mc:Choice>
      <mc:Fallback>
        <control shapeId="334995" r:id="rId21" name="onHoldEst40"/>
      </mc:Fallback>
    </mc:AlternateContent>
    <mc:AlternateContent xmlns:mc="http://schemas.openxmlformats.org/markup-compatibility/2006">
      <mc:Choice Requires="x14">
        <control shapeId="334994" r:id="rId22" name="onHoldEst39">
          <controlPr autoLine="0" r:id="rId7">
            <anchor moveWithCells="1">
              <from>
                <xdr:col>15</xdr:col>
                <xdr:colOff>285750</xdr:colOff>
                <xdr:row>41</xdr:row>
                <xdr:rowOff>28575</xdr:rowOff>
              </from>
              <to>
                <xdr:col>15</xdr:col>
                <xdr:colOff>571500</xdr:colOff>
                <xdr:row>42</xdr:row>
                <xdr:rowOff>28575</xdr:rowOff>
              </to>
            </anchor>
          </controlPr>
        </control>
      </mc:Choice>
      <mc:Fallback>
        <control shapeId="334994" r:id="rId22" name="onHoldEst39"/>
      </mc:Fallback>
    </mc:AlternateContent>
    <mc:AlternateContent xmlns:mc="http://schemas.openxmlformats.org/markup-compatibility/2006">
      <mc:Choice Requires="x14">
        <control shapeId="334993" r:id="rId23" name="onHoldEst38">
          <controlPr autoLine="0" r:id="rId7">
            <anchor moveWithCells="1">
              <from>
                <xdr:col>15</xdr:col>
                <xdr:colOff>285750</xdr:colOff>
                <xdr:row>40</xdr:row>
                <xdr:rowOff>38100</xdr:rowOff>
              </from>
              <to>
                <xdr:col>15</xdr:col>
                <xdr:colOff>571500</xdr:colOff>
                <xdr:row>41</xdr:row>
                <xdr:rowOff>38100</xdr:rowOff>
              </to>
            </anchor>
          </controlPr>
        </control>
      </mc:Choice>
      <mc:Fallback>
        <control shapeId="334993" r:id="rId23" name="onHoldEst38"/>
      </mc:Fallback>
    </mc:AlternateContent>
    <mc:AlternateContent xmlns:mc="http://schemas.openxmlformats.org/markup-compatibility/2006">
      <mc:Choice Requires="x14">
        <control shapeId="334992" r:id="rId24" name="onHoldEst37">
          <controlPr autoLine="0" r:id="rId7">
            <anchor moveWithCells="1">
              <from>
                <xdr:col>15</xdr:col>
                <xdr:colOff>285750</xdr:colOff>
                <xdr:row>39</xdr:row>
                <xdr:rowOff>38100</xdr:rowOff>
              </from>
              <to>
                <xdr:col>15</xdr:col>
                <xdr:colOff>571500</xdr:colOff>
                <xdr:row>40</xdr:row>
                <xdr:rowOff>38100</xdr:rowOff>
              </to>
            </anchor>
          </controlPr>
        </control>
      </mc:Choice>
      <mc:Fallback>
        <control shapeId="334992" r:id="rId24" name="onHoldEst37"/>
      </mc:Fallback>
    </mc:AlternateContent>
    <mc:AlternateContent xmlns:mc="http://schemas.openxmlformats.org/markup-compatibility/2006">
      <mc:Choice Requires="x14">
        <control shapeId="334991" r:id="rId25" name="CheckBox95">
          <controlPr autoLine="0" r:id="rId7">
            <anchor moveWithCells="1">
              <from>
                <xdr:col>15</xdr:col>
                <xdr:colOff>285750</xdr:colOff>
                <xdr:row>38</xdr:row>
                <xdr:rowOff>38100</xdr:rowOff>
              </from>
              <to>
                <xdr:col>15</xdr:col>
                <xdr:colOff>571500</xdr:colOff>
                <xdr:row>39</xdr:row>
                <xdr:rowOff>38100</xdr:rowOff>
              </to>
            </anchor>
          </controlPr>
        </control>
      </mc:Choice>
      <mc:Fallback>
        <control shapeId="334991" r:id="rId25" name="CheckBox95"/>
      </mc:Fallback>
    </mc:AlternateContent>
    <mc:AlternateContent xmlns:mc="http://schemas.openxmlformats.org/markup-compatibility/2006">
      <mc:Choice Requires="x14">
        <control shapeId="334990" r:id="rId26" name="onHoldEst35">
          <controlPr autoLine="0" r:id="rId7">
            <anchor moveWithCells="1">
              <from>
                <xdr:col>15</xdr:col>
                <xdr:colOff>285750</xdr:colOff>
                <xdr:row>37</xdr:row>
                <xdr:rowOff>28575</xdr:rowOff>
              </from>
              <to>
                <xdr:col>15</xdr:col>
                <xdr:colOff>571500</xdr:colOff>
                <xdr:row>38</xdr:row>
                <xdr:rowOff>28575</xdr:rowOff>
              </to>
            </anchor>
          </controlPr>
        </control>
      </mc:Choice>
      <mc:Fallback>
        <control shapeId="334990" r:id="rId26" name="onHoldEst35"/>
      </mc:Fallback>
    </mc:AlternateContent>
    <mc:AlternateContent xmlns:mc="http://schemas.openxmlformats.org/markup-compatibility/2006">
      <mc:Choice Requires="x14">
        <control shapeId="334989" r:id="rId27" name="onHoldEst34">
          <controlPr autoLine="0" r:id="rId7">
            <anchor moveWithCells="1">
              <from>
                <xdr:col>15</xdr:col>
                <xdr:colOff>285750</xdr:colOff>
                <xdr:row>36</xdr:row>
                <xdr:rowOff>19050</xdr:rowOff>
              </from>
              <to>
                <xdr:col>15</xdr:col>
                <xdr:colOff>571500</xdr:colOff>
                <xdr:row>37</xdr:row>
                <xdr:rowOff>19050</xdr:rowOff>
              </to>
            </anchor>
          </controlPr>
        </control>
      </mc:Choice>
      <mc:Fallback>
        <control shapeId="334989" r:id="rId27" name="onHoldEst34"/>
      </mc:Fallback>
    </mc:AlternateContent>
    <mc:AlternateContent xmlns:mc="http://schemas.openxmlformats.org/markup-compatibility/2006">
      <mc:Choice Requires="x14">
        <control shapeId="334988" r:id="rId28" name="onHoldEst33">
          <controlPr autoLine="0" r:id="rId7">
            <anchor moveWithCells="1">
              <from>
                <xdr:col>15</xdr:col>
                <xdr:colOff>285750</xdr:colOff>
                <xdr:row>35</xdr:row>
                <xdr:rowOff>38100</xdr:rowOff>
              </from>
              <to>
                <xdr:col>15</xdr:col>
                <xdr:colOff>571500</xdr:colOff>
                <xdr:row>36</xdr:row>
                <xdr:rowOff>38100</xdr:rowOff>
              </to>
            </anchor>
          </controlPr>
        </control>
      </mc:Choice>
      <mc:Fallback>
        <control shapeId="334988" r:id="rId28" name="onHoldEst33"/>
      </mc:Fallback>
    </mc:AlternateContent>
    <mc:AlternateContent xmlns:mc="http://schemas.openxmlformats.org/markup-compatibility/2006">
      <mc:Choice Requires="x14">
        <control shapeId="334987" r:id="rId29" name="CheckBox91">
          <controlPr autoLine="0" r:id="rId7">
            <anchor moveWithCells="1">
              <from>
                <xdr:col>15</xdr:col>
                <xdr:colOff>285750</xdr:colOff>
                <xdr:row>34</xdr:row>
                <xdr:rowOff>38100</xdr:rowOff>
              </from>
              <to>
                <xdr:col>15</xdr:col>
                <xdr:colOff>571500</xdr:colOff>
                <xdr:row>35</xdr:row>
                <xdr:rowOff>38100</xdr:rowOff>
              </to>
            </anchor>
          </controlPr>
        </control>
      </mc:Choice>
      <mc:Fallback>
        <control shapeId="334987" r:id="rId29" name="CheckBox91"/>
      </mc:Fallback>
    </mc:AlternateContent>
    <mc:AlternateContent xmlns:mc="http://schemas.openxmlformats.org/markup-compatibility/2006">
      <mc:Choice Requires="x14">
        <control shapeId="334986" r:id="rId30" name="onHoldEst31">
          <controlPr autoLine="0" r:id="rId7">
            <anchor moveWithCells="1">
              <from>
                <xdr:col>15</xdr:col>
                <xdr:colOff>285750</xdr:colOff>
                <xdr:row>33</xdr:row>
                <xdr:rowOff>38100</xdr:rowOff>
              </from>
              <to>
                <xdr:col>15</xdr:col>
                <xdr:colOff>571500</xdr:colOff>
                <xdr:row>34</xdr:row>
                <xdr:rowOff>38100</xdr:rowOff>
              </to>
            </anchor>
          </controlPr>
        </control>
      </mc:Choice>
      <mc:Fallback>
        <control shapeId="334986" r:id="rId30" name="onHoldEst31"/>
      </mc:Fallback>
    </mc:AlternateContent>
    <mc:AlternateContent xmlns:mc="http://schemas.openxmlformats.org/markup-compatibility/2006">
      <mc:Choice Requires="x14">
        <control shapeId="334985" r:id="rId31" name="onHoldEst30">
          <controlPr autoLine="0" r:id="rId7">
            <anchor moveWithCells="1">
              <from>
                <xdr:col>15</xdr:col>
                <xdr:colOff>285750</xdr:colOff>
                <xdr:row>32</xdr:row>
                <xdr:rowOff>19050</xdr:rowOff>
              </from>
              <to>
                <xdr:col>15</xdr:col>
                <xdr:colOff>571500</xdr:colOff>
                <xdr:row>33</xdr:row>
                <xdr:rowOff>19050</xdr:rowOff>
              </to>
            </anchor>
          </controlPr>
        </control>
      </mc:Choice>
      <mc:Fallback>
        <control shapeId="334985" r:id="rId31" name="onHoldEst30"/>
      </mc:Fallback>
    </mc:AlternateContent>
    <mc:AlternateContent xmlns:mc="http://schemas.openxmlformats.org/markup-compatibility/2006">
      <mc:Choice Requires="x14">
        <control shapeId="334984" r:id="rId32" name="onHoldEst29">
          <controlPr autoLine="0" r:id="rId7">
            <anchor moveWithCells="1">
              <from>
                <xdr:col>15</xdr:col>
                <xdr:colOff>285750</xdr:colOff>
                <xdr:row>31</xdr:row>
                <xdr:rowOff>19050</xdr:rowOff>
              </from>
              <to>
                <xdr:col>15</xdr:col>
                <xdr:colOff>571500</xdr:colOff>
                <xdr:row>32</xdr:row>
                <xdr:rowOff>19050</xdr:rowOff>
              </to>
            </anchor>
          </controlPr>
        </control>
      </mc:Choice>
      <mc:Fallback>
        <control shapeId="334984" r:id="rId32" name="onHoldEst29"/>
      </mc:Fallback>
    </mc:AlternateContent>
    <mc:AlternateContent xmlns:mc="http://schemas.openxmlformats.org/markup-compatibility/2006">
      <mc:Choice Requires="x14">
        <control shapeId="334983" r:id="rId33" name="onHoldEst28">
          <controlPr autoLine="0" r:id="rId7">
            <anchor moveWithCells="1">
              <from>
                <xdr:col>15</xdr:col>
                <xdr:colOff>285750</xdr:colOff>
                <xdr:row>30</xdr:row>
                <xdr:rowOff>19050</xdr:rowOff>
              </from>
              <to>
                <xdr:col>15</xdr:col>
                <xdr:colOff>571500</xdr:colOff>
                <xdr:row>31</xdr:row>
                <xdr:rowOff>19050</xdr:rowOff>
              </to>
            </anchor>
          </controlPr>
        </control>
      </mc:Choice>
      <mc:Fallback>
        <control shapeId="334983" r:id="rId33" name="onHoldEst28"/>
      </mc:Fallback>
    </mc:AlternateContent>
    <mc:AlternateContent xmlns:mc="http://schemas.openxmlformats.org/markup-compatibility/2006">
      <mc:Choice Requires="x14">
        <control shapeId="334982" r:id="rId34" name="onHoldEst27">
          <controlPr autoLine="0" r:id="rId7">
            <anchor moveWithCells="1">
              <from>
                <xdr:col>15</xdr:col>
                <xdr:colOff>285750</xdr:colOff>
                <xdr:row>29</xdr:row>
                <xdr:rowOff>19050</xdr:rowOff>
              </from>
              <to>
                <xdr:col>15</xdr:col>
                <xdr:colOff>571500</xdr:colOff>
                <xdr:row>30</xdr:row>
                <xdr:rowOff>19050</xdr:rowOff>
              </to>
            </anchor>
          </controlPr>
        </control>
      </mc:Choice>
      <mc:Fallback>
        <control shapeId="334982" r:id="rId34" name="onHoldEst27"/>
      </mc:Fallback>
    </mc:AlternateContent>
    <mc:AlternateContent xmlns:mc="http://schemas.openxmlformats.org/markup-compatibility/2006">
      <mc:Choice Requires="x14">
        <control shapeId="334981" r:id="rId35" name="onHoldEst26">
          <controlPr autoLine="0" r:id="rId7">
            <anchor moveWithCells="1">
              <from>
                <xdr:col>15</xdr:col>
                <xdr:colOff>285750</xdr:colOff>
                <xdr:row>28</xdr:row>
                <xdr:rowOff>38100</xdr:rowOff>
              </from>
              <to>
                <xdr:col>15</xdr:col>
                <xdr:colOff>571500</xdr:colOff>
                <xdr:row>29</xdr:row>
                <xdr:rowOff>38100</xdr:rowOff>
              </to>
            </anchor>
          </controlPr>
        </control>
      </mc:Choice>
      <mc:Fallback>
        <control shapeId="334981" r:id="rId35" name="onHoldEst26"/>
      </mc:Fallback>
    </mc:AlternateContent>
    <mc:AlternateContent xmlns:mc="http://schemas.openxmlformats.org/markup-compatibility/2006">
      <mc:Choice Requires="x14">
        <control shapeId="334980" r:id="rId36" name="onHoldEst25">
          <controlPr autoLine="0" r:id="rId7">
            <anchor moveWithCells="1">
              <from>
                <xdr:col>15</xdr:col>
                <xdr:colOff>285750</xdr:colOff>
                <xdr:row>27</xdr:row>
                <xdr:rowOff>57150</xdr:rowOff>
              </from>
              <to>
                <xdr:col>15</xdr:col>
                <xdr:colOff>571500</xdr:colOff>
                <xdr:row>28</xdr:row>
                <xdr:rowOff>57150</xdr:rowOff>
              </to>
            </anchor>
          </controlPr>
        </control>
      </mc:Choice>
      <mc:Fallback>
        <control shapeId="334980" r:id="rId36" name="onHoldEst25"/>
      </mc:Fallback>
    </mc:AlternateContent>
    <mc:AlternateContent xmlns:mc="http://schemas.openxmlformats.org/markup-compatibility/2006">
      <mc:Choice Requires="x14">
        <control shapeId="334979" r:id="rId37" name="onHoldEst24">
          <controlPr autoLine="0" r:id="rId7">
            <anchor moveWithCells="1">
              <from>
                <xdr:col>15</xdr:col>
                <xdr:colOff>276225</xdr:colOff>
                <xdr:row>26</xdr:row>
                <xdr:rowOff>38100</xdr:rowOff>
              </from>
              <to>
                <xdr:col>15</xdr:col>
                <xdr:colOff>561975</xdr:colOff>
                <xdr:row>27</xdr:row>
                <xdr:rowOff>38100</xdr:rowOff>
              </to>
            </anchor>
          </controlPr>
        </control>
      </mc:Choice>
      <mc:Fallback>
        <control shapeId="334979" r:id="rId37" name="onHoldEst24"/>
      </mc:Fallback>
    </mc:AlternateContent>
    <mc:AlternateContent xmlns:mc="http://schemas.openxmlformats.org/markup-compatibility/2006">
      <mc:Choice Requires="x14">
        <control shapeId="334978" r:id="rId38" name="onHoldEst23">
          <controlPr autoLine="0" r:id="rId7">
            <anchor moveWithCells="1">
              <from>
                <xdr:col>15</xdr:col>
                <xdr:colOff>276225</xdr:colOff>
                <xdr:row>25</xdr:row>
                <xdr:rowOff>47625</xdr:rowOff>
              </from>
              <to>
                <xdr:col>15</xdr:col>
                <xdr:colOff>561975</xdr:colOff>
                <xdr:row>26</xdr:row>
                <xdr:rowOff>47625</xdr:rowOff>
              </to>
            </anchor>
          </controlPr>
        </control>
      </mc:Choice>
      <mc:Fallback>
        <control shapeId="334978" r:id="rId38" name="onHoldEst23"/>
      </mc:Fallback>
    </mc:AlternateContent>
    <mc:AlternateContent xmlns:mc="http://schemas.openxmlformats.org/markup-compatibility/2006">
      <mc:Choice Requires="x14">
        <control shapeId="334977" r:id="rId39" name="onHoldEst22">
          <controlPr autoLine="0" r:id="rId7">
            <anchor moveWithCells="1">
              <from>
                <xdr:col>15</xdr:col>
                <xdr:colOff>276225</xdr:colOff>
                <xdr:row>24</xdr:row>
                <xdr:rowOff>47625</xdr:rowOff>
              </from>
              <to>
                <xdr:col>15</xdr:col>
                <xdr:colOff>561975</xdr:colOff>
                <xdr:row>25</xdr:row>
                <xdr:rowOff>47625</xdr:rowOff>
              </to>
            </anchor>
          </controlPr>
        </control>
      </mc:Choice>
      <mc:Fallback>
        <control shapeId="334977" r:id="rId39" name="onHoldEst22"/>
      </mc:Fallback>
    </mc:AlternateContent>
    <mc:AlternateContent xmlns:mc="http://schemas.openxmlformats.org/markup-compatibility/2006">
      <mc:Choice Requires="x14">
        <control shapeId="334976" r:id="rId40" name="onHoldEst21">
          <controlPr autoLine="0" r:id="rId7">
            <anchor moveWithCells="1">
              <from>
                <xdr:col>15</xdr:col>
                <xdr:colOff>266700</xdr:colOff>
                <xdr:row>23</xdr:row>
                <xdr:rowOff>28575</xdr:rowOff>
              </from>
              <to>
                <xdr:col>15</xdr:col>
                <xdr:colOff>552450</xdr:colOff>
                <xdr:row>24</xdr:row>
                <xdr:rowOff>28575</xdr:rowOff>
              </to>
            </anchor>
          </controlPr>
        </control>
      </mc:Choice>
      <mc:Fallback>
        <control shapeId="334976" r:id="rId40" name="onHoldEst21"/>
      </mc:Fallback>
    </mc:AlternateContent>
    <mc:AlternateContent xmlns:mc="http://schemas.openxmlformats.org/markup-compatibility/2006">
      <mc:Choice Requires="x14">
        <control shapeId="334975" r:id="rId41" name="onHoldEst20">
          <controlPr autoLine="0" r:id="rId7">
            <anchor moveWithCells="1">
              <from>
                <xdr:col>15</xdr:col>
                <xdr:colOff>266700</xdr:colOff>
                <xdr:row>22</xdr:row>
                <xdr:rowOff>19050</xdr:rowOff>
              </from>
              <to>
                <xdr:col>15</xdr:col>
                <xdr:colOff>552450</xdr:colOff>
                <xdr:row>23</xdr:row>
                <xdr:rowOff>19050</xdr:rowOff>
              </to>
            </anchor>
          </controlPr>
        </control>
      </mc:Choice>
      <mc:Fallback>
        <control shapeId="334975" r:id="rId41" name="onHoldEst20"/>
      </mc:Fallback>
    </mc:AlternateContent>
    <mc:AlternateContent xmlns:mc="http://schemas.openxmlformats.org/markup-compatibility/2006">
      <mc:Choice Requires="x14">
        <control shapeId="334974" r:id="rId42" name="onHoldEst19">
          <controlPr autoLine="0" r:id="rId7">
            <anchor moveWithCells="1">
              <from>
                <xdr:col>15</xdr:col>
                <xdr:colOff>266700</xdr:colOff>
                <xdr:row>21</xdr:row>
                <xdr:rowOff>38100</xdr:rowOff>
              </from>
              <to>
                <xdr:col>15</xdr:col>
                <xdr:colOff>552450</xdr:colOff>
                <xdr:row>22</xdr:row>
                <xdr:rowOff>38100</xdr:rowOff>
              </to>
            </anchor>
          </controlPr>
        </control>
      </mc:Choice>
      <mc:Fallback>
        <control shapeId="334974" r:id="rId42" name="onHoldEst19"/>
      </mc:Fallback>
    </mc:AlternateContent>
    <mc:AlternateContent xmlns:mc="http://schemas.openxmlformats.org/markup-compatibility/2006">
      <mc:Choice Requires="x14">
        <control shapeId="334973" r:id="rId43" name="onHoldEst18">
          <controlPr autoLine="0" r:id="rId7">
            <anchor moveWithCells="1">
              <from>
                <xdr:col>15</xdr:col>
                <xdr:colOff>266700</xdr:colOff>
                <xdr:row>20</xdr:row>
                <xdr:rowOff>38100</xdr:rowOff>
              </from>
              <to>
                <xdr:col>15</xdr:col>
                <xdr:colOff>552450</xdr:colOff>
                <xdr:row>21</xdr:row>
                <xdr:rowOff>38100</xdr:rowOff>
              </to>
            </anchor>
          </controlPr>
        </control>
      </mc:Choice>
      <mc:Fallback>
        <control shapeId="334973" r:id="rId43" name="onHoldEst18"/>
      </mc:Fallback>
    </mc:AlternateContent>
    <mc:AlternateContent xmlns:mc="http://schemas.openxmlformats.org/markup-compatibility/2006">
      <mc:Choice Requires="x14">
        <control shapeId="334972" r:id="rId44" name="onHoldEst17">
          <controlPr autoLine="0" r:id="rId7">
            <anchor moveWithCells="1">
              <from>
                <xdr:col>15</xdr:col>
                <xdr:colOff>266700</xdr:colOff>
                <xdr:row>19</xdr:row>
                <xdr:rowOff>47625</xdr:rowOff>
              </from>
              <to>
                <xdr:col>15</xdr:col>
                <xdr:colOff>552450</xdr:colOff>
                <xdr:row>20</xdr:row>
                <xdr:rowOff>47625</xdr:rowOff>
              </to>
            </anchor>
          </controlPr>
        </control>
      </mc:Choice>
      <mc:Fallback>
        <control shapeId="334972" r:id="rId44" name="onHoldEst17"/>
      </mc:Fallback>
    </mc:AlternateContent>
    <mc:AlternateContent xmlns:mc="http://schemas.openxmlformats.org/markup-compatibility/2006">
      <mc:Choice Requires="x14">
        <control shapeId="334971" r:id="rId45" name="onHoldEst16">
          <controlPr autoLine="0" r:id="rId7">
            <anchor moveWithCells="1">
              <from>
                <xdr:col>15</xdr:col>
                <xdr:colOff>266700</xdr:colOff>
                <xdr:row>18</xdr:row>
                <xdr:rowOff>38100</xdr:rowOff>
              </from>
              <to>
                <xdr:col>15</xdr:col>
                <xdr:colOff>552450</xdr:colOff>
                <xdr:row>19</xdr:row>
                <xdr:rowOff>38100</xdr:rowOff>
              </to>
            </anchor>
          </controlPr>
        </control>
      </mc:Choice>
      <mc:Fallback>
        <control shapeId="334971" r:id="rId45" name="onHoldEst16"/>
      </mc:Fallback>
    </mc:AlternateContent>
    <mc:AlternateContent xmlns:mc="http://schemas.openxmlformats.org/markup-compatibility/2006">
      <mc:Choice Requires="x14">
        <control shapeId="334970" r:id="rId46" name="onHoldEst15">
          <controlPr autoLine="0" r:id="rId7">
            <anchor moveWithCells="1">
              <from>
                <xdr:col>15</xdr:col>
                <xdr:colOff>257175</xdr:colOff>
                <xdr:row>17</xdr:row>
                <xdr:rowOff>28575</xdr:rowOff>
              </from>
              <to>
                <xdr:col>15</xdr:col>
                <xdr:colOff>542925</xdr:colOff>
                <xdr:row>18</xdr:row>
                <xdr:rowOff>28575</xdr:rowOff>
              </to>
            </anchor>
          </controlPr>
        </control>
      </mc:Choice>
      <mc:Fallback>
        <control shapeId="334970" r:id="rId46" name="onHoldEst15"/>
      </mc:Fallback>
    </mc:AlternateContent>
    <mc:AlternateContent xmlns:mc="http://schemas.openxmlformats.org/markup-compatibility/2006">
      <mc:Choice Requires="x14">
        <control shapeId="334969" r:id="rId47" name="onHoldEst14">
          <controlPr autoLine="0" r:id="rId7">
            <anchor moveWithCells="1">
              <from>
                <xdr:col>15</xdr:col>
                <xdr:colOff>257175</xdr:colOff>
                <xdr:row>16</xdr:row>
                <xdr:rowOff>28575</xdr:rowOff>
              </from>
              <to>
                <xdr:col>15</xdr:col>
                <xdr:colOff>542925</xdr:colOff>
                <xdr:row>17</xdr:row>
                <xdr:rowOff>28575</xdr:rowOff>
              </to>
            </anchor>
          </controlPr>
        </control>
      </mc:Choice>
      <mc:Fallback>
        <control shapeId="334969" r:id="rId47" name="onHoldEst14"/>
      </mc:Fallback>
    </mc:AlternateContent>
    <mc:AlternateContent xmlns:mc="http://schemas.openxmlformats.org/markup-compatibility/2006">
      <mc:Choice Requires="x14">
        <control shapeId="334968" r:id="rId48" name="onHoldEst13">
          <controlPr autoLine="0" r:id="rId7">
            <anchor moveWithCells="1">
              <from>
                <xdr:col>15</xdr:col>
                <xdr:colOff>247650</xdr:colOff>
                <xdr:row>15</xdr:row>
                <xdr:rowOff>28575</xdr:rowOff>
              </from>
              <to>
                <xdr:col>15</xdr:col>
                <xdr:colOff>533400</xdr:colOff>
                <xdr:row>16</xdr:row>
                <xdr:rowOff>28575</xdr:rowOff>
              </to>
            </anchor>
          </controlPr>
        </control>
      </mc:Choice>
      <mc:Fallback>
        <control shapeId="334968" r:id="rId48" name="onHoldEst13"/>
      </mc:Fallback>
    </mc:AlternateContent>
    <mc:AlternateContent xmlns:mc="http://schemas.openxmlformats.org/markup-compatibility/2006">
      <mc:Choice Requires="x14">
        <control shapeId="334967" r:id="rId49" name="onHoldEst12">
          <controlPr autoLine="0" r:id="rId7">
            <anchor moveWithCells="1">
              <from>
                <xdr:col>15</xdr:col>
                <xdr:colOff>247650</xdr:colOff>
                <xdr:row>14</xdr:row>
                <xdr:rowOff>19050</xdr:rowOff>
              </from>
              <to>
                <xdr:col>15</xdr:col>
                <xdr:colOff>533400</xdr:colOff>
                <xdr:row>15</xdr:row>
                <xdr:rowOff>19050</xdr:rowOff>
              </to>
            </anchor>
          </controlPr>
        </control>
      </mc:Choice>
      <mc:Fallback>
        <control shapeId="334967" r:id="rId49" name="onHoldEst12"/>
      </mc:Fallback>
    </mc:AlternateContent>
    <mc:AlternateContent xmlns:mc="http://schemas.openxmlformats.org/markup-compatibility/2006">
      <mc:Choice Requires="x14">
        <control shapeId="334966" r:id="rId50" name="onHoldEst6">
          <controlPr autoLine="0" r:id="rId7">
            <anchor moveWithCells="1">
              <from>
                <xdr:col>15</xdr:col>
                <xdr:colOff>238125</xdr:colOff>
                <xdr:row>8</xdr:row>
                <xdr:rowOff>0</xdr:rowOff>
              </from>
              <to>
                <xdr:col>15</xdr:col>
                <xdr:colOff>523875</xdr:colOff>
                <xdr:row>9</xdr:row>
                <xdr:rowOff>0</xdr:rowOff>
              </to>
            </anchor>
          </controlPr>
        </control>
      </mc:Choice>
      <mc:Fallback>
        <control shapeId="334966" r:id="rId50" name="onHoldEst6"/>
      </mc:Fallback>
    </mc:AlternateContent>
    <mc:AlternateContent xmlns:mc="http://schemas.openxmlformats.org/markup-compatibility/2006">
      <mc:Choice Requires="x14">
        <control shapeId="334965" r:id="rId51" name="onHoldEst9">
          <controlPr autoLine="0" r:id="rId7">
            <anchor moveWithCells="1">
              <from>
                <xdr:col>15</xdr:col>
                <xdr:colOff>238125</xdr:colOff>
                <xdr:row>11</xdr:row>
                <xdr:rowOff>38100</xdr:rowOff>
              </from>
              <to>
                <xdr:col>15</xdr:col>
                <xdr:colOff>523875</xdr:colOff>
                <xdr:row>12</xdr:row>
                <xdr:rowOff>38100</xdr:rowOff>
              </to>
            </anchor>
          </controlPr>
        </control>
      </mc:Choice>
      <mc:Fallback>
        <control shapeId="334965" r:id="rId51" name="onHoldEst9"/>
      </mc:Fallback>
    </mc:AlternateContent>
    <mc:AlternateContent xmlns:mc="http://schemas.openxmlformats.org/markup-compatibility/2006">
      <mc:Choice Requires="x14">
        <control shapeId="334964" r:id="rId52" name="onHoldEst11">
          <controlPr autoLine="0" r:id="rId7">
            <anchor moveWithCells="1">
              <from>
                <xdr:col>15</xdr:col>
                <xdr:colOff>238125</xdr:colOff>
                <xdr:row>13</xdr:row>
                <xdr:rowOff>0</xdr:rowOff>
              </from>
              <to>
                <xdr:col>15</xdr:col>
                <xdr:colOff>523875</xdr:colOff>
                <xdr:row>14</xdr:row>
                <xdr:rowOff>0</xdr:rowOff>
              </to>
            </anchor>
          </controlPr>
        </control>
      </mc:Choice>
      <mc:Fallback>
        <control shapeId="334964" r:id="rId52" name="onHoldEst11"/>
      </mc:Fallback>
    </mc:AlternateContent>
    <mc:AlternateContent xmlns:mc="http://schemas.openxmlformats.org/markup-compatibility/2006">
      <mc:Choice Requires="x14">
        <control shapeId="334963" r:id="rId53" name="onHoldEst10">
          <controlPr autoLine="0" r:id="rId7">
            <anchor moveWithCells="1">
              <from>
                <xdr:col>15</xdr:col>
                <xdr:colOff>238125</xdr:colOff>
                <xdr:row>12</xdr:row>
                <xdr:rowOff>28575</xdr:rowOff>
              </from>
              <to>
                <xdr:col>15</xdr:col>
                <xdr:colOff>523875</xdr:colOff>
                <xdr:row>13</xdr:row>
                <xdr:rowOff>28575</xdr:rowOff>
              </to>
            </anchor>
          </controlPr>
        </control>
      </mc:Choice>
      <mc:Fallback>
        <control shapeId="334963" r:id="rId53" name="onHoldEst10"/>
      </mc:Fallback>
    </mc:AlternateContent>
    <mc:AlternateContent xmlns:mc="http://schemas.openxmlformats.org/markup-compatibility/2006">
      <mc:Choice Requires="x14">
        <control shapeId="334962" r:id="rId54" name="onHoldEst8">
          <controlPr autoLine="0" r:id="rId7">
            <anchor moveWithCells="1">
              <from>
                <xdr:col>15</xdr:col>
                <xdr:colOff>238125</xdr:colOff>
                <xdr:row>10</xdr:row>
                <xdr:rowOff>28575</xdr:rowOff>
              </from>
              <to>
                <xdr:col>15</xdr:col>
                <xdr:colOff>523875</xdr:colOff>
                <xdr:row>11</xdr:row>
                <xdr:rowOff>28575</xdr:rowOff>
              </to>
            </anchor>
          </controlPr>
        </control>
      </mc:Choice>
      <mc:Fallback>
        <control shapeId="334962" r:id="rId54" name="onHoldEst8"/>
      </mc:Fallback>
    </mc:AlternateContent>
    <mc:AlternateContent xmlns:mc="http://schemas.openxmlformats.org/markup-compatibility/2006">
      <mc:Choice Requires="x14">
        <control shapeId="334961" r:id="rId55" name="onHoldEst7">
          <controlPr autoLine="0" r:id="rId7">
            <anchor moveWithCells="1">
              <from>
                <xdr:col>15</xdr:col>
                <xdr:colOff>238125</xdr:colOff>
                <xdr:row>9</xdr:row>
                <xdr:rowOff>9525</xdr:rowOff>
              </from>
              <to>
                <xdr:col>15</xdr:col>
                <xdr:colOff>523875</xdr:colOff>
                <xdr:row>10</xdr:row>
                <xdr:rowOff>9525</xdr:rowOff>
              </to>
            </anchor>
          </controlPr>
        </control>
      </mc:Choice>
      <mc:Fallback>
        <control shapeId="334961" r:id="rId55" name="onHoldEst7"/>
      </mc:Fallback>
    </mc:AlternateContent>
    <mc:AlternateContent xmlns:mc="http://schemas.openxmlformats.org/markup-compatibility/2006">
      <mc:Choice Requires="x14">
        <control shapeId="334960" r:id="rId56" name="onHoldEst5">
          <controlPr autoLine="0" r:id="rId7">
            <anchor moveWithCells="1">
              <from>
                <xdr:col>15</xdr:col>
                <xdr:colOff>238125</xdr:colOff>
                <xdr:row>7</xdr:row>
                <xdr:rowOff>9525</xdr:rowOff>
              </from>
              <to>
                <xdr:col>15</xdr:col>
                <xdr:colOff>523875</xdr:colOff>
                <xdr:row>8</xdr:row>
                <xdr:rowOff>9525</xdr:rowOff>
              </to>
            </anchor>
          </controlPr>
        </control>
      </mc:Choice>
      <mc:Fallback>
        <control shapeId="334960" r:id="rId56" name="onHoldEst5"/>
      </mc:Fallback>
    </mc:AlternateContent>
    <mc:AlternateContent xmlns:mc="http://schemas.openxmlformats.org/markup-compatibility/2006">
      <mc:Choice Requires="x14">
        <control shapeId="334959" r:id="rId57" name="onHoldEst4">
          <controlPr autoLine="0" r:id="rId58">
            <anchor moveWithCells="1">
              <from>
                <xdr:col>15</xdr:col>
                <xdr:colOff>238125</xdr:colOff>
                <xdr:row>6</xdr:row>
                <xdr:rowOff>238125</xdr:rowOff>
              </from>
              <to>
                <xdr:col>15</xdr:col>
                <xdr:colOff>523875</xdr:colOff>
                <xdr:row>7</xdr:row>
                <xdr:rowOff>47625</xdr:rowOff>
              </to>
            </anchor>
          </controlPr>
        </control>
      </mc:Choice>
      <mc:Fallback>
        <control shapeId="334959" r:id="rId57" name="onHoldEst4"/>
      </mc:Fallback>
    </mc:AlternateContent>
    <mc:AlternateContent xmlns:mc="http://schemas.openxmlformats.org/markup-compatibility/2006">
      <mc:Choice Requires="x14">
        <control shapeId="334958" r:id="rId59" name="onHoldEst3">
          <controlPr autoLine="0" r:id="rId58">
            <anchor moveWithCells="1">
              <from>
                <xdr:col>15</xdr:col>
                <xdr:colOff>228600</xdr:colOff>
                <xdr:row>5</xdr:row>
                <xdr:rowOff>257175</xdr:rowOff>
              </from>
              <to>
                <xdr:col>15</xdr:col>
                <xdr:colOff>514350</xdr:colOff>
                <xdr:row>6</xdr:row>
                <xdr:rowOff>66675</xdr:rowOff>
              </to>
            </anchor>
          </controlPr>
        </control>
      </mc:Choice>
      <mc:Fallback>
        <control shapeId="334958" r:id="rId59" name="onHoldEst3"/>
      </mc:Fallback>
    </mc:AlternateContent>
    <mc:AlternateContent xmlns:mc="http://schemas.openxmlformats.org/markup-compatibility/2006">
      <mc:Choice Requires="x14">
        <control shapeId="334957" r:id="rId60" name="onHoldEst2">
          <controlPr autoLine="0" r:id="rId5">
            <anchor moveWithCells="1">
              <from>
                <xdr:col>15</xdr:col>
                <xdr:colOff>219075</xdr:colOff>
                <xdr:row>4</xdr:row>
                <xdr:rowOff>38100</xdr:rowOff>
              </from>
              <to>
                <xdr:col>15</xdr:col>
                <xdr:colOff>514350</xdr:colOff>
                <xdr:row>5</xdr:row>
                <xdr:rowOff>38100</xdr:rowOff>
              </to>
            </anchor>
          </controlPr>
        </control>
      </mc:Choice>
      <mc:Fallback>
        <control shapeId="334957" r:id="rId60" name="onHoldEst2"/>
      </mc:Fallback>
    </mc:AlternateContent>
    <mc:AlternateContent xmlns:mc="http://schemas.openxmlformats.org/markup-compatibility/2006">
      <mc:Choice Requires="x14">
        <control shapeId="334956" r:id="rId61" name="onHoldInda1">
          <controlPr autoLine="0" r:id="rId5">
            <anchor moveWithCells="1">
              <from>
                <xdr:col>10</xdr:col>
                <xdr:colOff>219075</xdr:colOff>
                <xdr:row>3</xdr:row>
                <xdr:rowOff>28575</xdr:rowOff>
              </from>
              <to>
                <xdr:col>10</xdr:col>
                <xdr:colOff>514350</xdr:colOff>
                <xdr:row>4</xdr:row>
                <xdr:rowOff>28575</xdr:rowOff>
              </to>
            </anchor>
          </controlPr>
        </control>
      </mc:Choice>
      <mc:Fallback>
        <control shapeId="334956" r:id="rId61" name="onHoldInda1"/>
      </mc:Fallback>
    </mc:AlternateContent>
    <mc:AlternateContent xmlns:mc="http://schemas.openxmlformats.org/markup-compatibility/2006">
      <mc:Choice Requires="x14">
        <control shapeId="334955" r:id="rId62" name="onHoldInda54">
          <controlPr autoLine="0" r:id="rId7">
            <anchor moveWithCells="1">
              <from>
                <xdr:col>10</xdr:col>
                <xdr:colOff>276225</xdr:colOff>
                <xdr:row>56</xdr:row>
                <xdr:rowOff>28575</xdr:rowOff>
              </from>
              <to>
                <xdr:col>10</xdr:col>
                <xdr:colOff>561975</xdr:colOff>
                <xdr:row>57</xdr:row>
                <xdr:rowOff>28575</xdr:rowOff>
              </to>
            </anchor>
          </controlPr>
        </control>
      </mc:Choice>
      <mc:Fallback>
        <control shapeId="334955" r:id="rId62" name="onHoldInda54"/>
      </mc:Fallback>
    </mc:AlternateContent>
    <mc:AlternateContent xmlns:mc="http://schemas.openxmlformats.org/markup-compatibility/2006">
      <mc:Choice Requires="x14">
        <control shapeId="334954" r:id="rId63" name="onHoldInda53">
          <controlPr autoLine="0" r:id="rId7">
            <anchor moveWithCells="1">
              <from>
                <xdr:col>10</xdr:col>
                <xdr:colOff>276225</xdr:colOff>
                <xdr:row>55</xdr:row>
                <xdr:rowOff>9525</xdr:rowOff>
              </from>
              <to>
                <xdr:col>10</xdr:col>
                <xdr:colOff>561975</xdr:colOff>
                <xdr:row>56</xdr:row>
                <xdr:rowOff>9525</xdr:rowOff>
              </to>
            </anchor>
          </controlPr>
        </control>
      </mc:Choice>
      <mc:Fallback>
        <control shapeId="334954" r:id="rId63" name="onHoldInda53"/>
      </mc:Fallback>
    </mc:AlternateContent>
    <mc:AlternateContent xmlns:mc="http://schemas.openxmlformats.org/markup-compatibility/2006">
      <mc:Choice Requires="x14">
        <control shapeId="334953" r:id="rId64" name="onHoldInda52">
          <controlPr autoLine="0" r:id="rId7">
            <anchor moveWithCells="1">
              <from>
                <xdr:col>10</xdr:col>
                <xdr:colOff>276225</xdr:colOff>
                <xdr:row>54</xdr:row>
                <xdr:rowOff>0</xdr:rowOff>
              </from>
              <to>
                <xdr:col>10</xdr:col>
                <xdr:colOff>561975</xdr:colOff>
                <xdr:row>55</xdr:row>
                <xdr:rowOff>0</xdr:rowOff>
              </to>
            </anchor>
          </controlPr>
        </control>
      </mc:Choice>
      <mc:Fallback>
        <control shapeId="334953" r:id="rId64" name="onHoldInda52"/>
      </mc:Fallback>
    </mc:AlternateContent>
    <mc:AlternateContent xmlns:mc="http://schemas.openxmlformats.org/markup-compatibility/2006">
      <mc:Choice Requires="x14">
        <control shapeId="334952" r:id="rId65" name="onHoldInda51">
          <controlPr autoLine="0" r:id="rId7">
            <anchor moveWithCells="1">
              <from>
                <xdr:col>10</xdr:col>
                <xdr:colOff>276225</xdr:colOff>
                <xdr:row>53</xdr:row>
                <xdr:rowOff>0</xdr:rowOff>
              </from>
              <to>
                <xdr:col>10</xdr:col>
                <xdr:colOff>561975</xdr:colOff>
                <xdr:row>54</xdr:row>
                <xdr:rowOff>0</xdr:rowOff>
              </to>
            </anchor>
          </controlPr>
        </control>
      </mc:Choice>
      <mc:Fallback>
        <control shapeId="334952" r:id="rId65" name="onHoldInda51"/>
      </mc:Fallback>
    </mc:AlternateContent>
    <mc:AlternateContent xmlns:mc="http://schemas.openxmlformats.org/markup-compatibility/2006">
      <mc:Choice Requires="x14">
        <control shapeId="334951" r:id="rId66" name="onHoldInda50">
          <controlPr autoLine="0" r:id="rId7">
            <anchor moveWithCells="1">
              <from>
                <xdr:col>10</xdr:col>
                <xdr:colOff>276225</xdr:colOff>
                <xdr:row>52</xdr:row>
                <xdr:rowOff>9525</xdr:rowOff>
              </from>
              <to>
                <xdr:col>10</xdr:col>
                <xdr:colOff>561975</xdr:colOff>
                <xdr:row>53</xdr:row>
                <xdr:rowOff>9525</xdr:rowOff>
              </to>
            </anchor>
          </controlPr>
        </control>
      </mc:Choice>
      <mc:Fallback>
        <control shapeId="334951" r:id="rId66" name="onHoldInda50"/>
      </mc:Fallback>
    </mc:AlternateContent>
    <mc:AlternateContent xmlns:mc="http://schemas.openxmlformats.org/markup-compatibility/2006">
      <mc:Choice Requires="x14">
        <control shapeId="334950" r:id="rId67" name="onHoldInda49">
          <controlPr autoLine="0" r:id="rId7">
            <anchor moveWithCells="1">
              <from>
                <xdr:col>10</xdr:col>
                <xdr:colOff>266700</xdr:colOff>
                <xdr:row>50</xdr:row>
                <xdr:rowOff>171450</xdr:rowOff>
              </from>
              <to>
                <xdr:col>10</xdr:col>
                <xdr:colOff>552450</xdr:colOff>
                <xdr:row>51</xdr:row>
                <xdr:rowOff>171450</xdr:rowOff>
              </to>
            </anchor>
          </controlPr>
        </control>
      </mc:Choice>
      <mc:Fallback>
        <control shapeId="334950" r:id="rId67" name="onHoldInda49"/>
      </mc:Fallback>
    </mc:AlternateContent>
    <mc:AlternateContent xmlns:mc="http://schemas.openxmlformats.org/markup-compatibility/2006">
      <mc:Choice Requires="x14">
        <control shapeId="334949" r:id="rId68" name="onHoldInda48">
          <controlPr autoLine="0" r:id="rId7">
            <anchor moveWithCells="1">
              <from>
                <xdr:col>10</xdr:col>
                <xdr:colOff>266700</xdr:colOff>
                <xdr:row>50</xdr:row>
                <xdr:rowOff>0</xdr:rowOff>
              </from>
              <to>
                <xdr:col>10</xdr:col>
                <xdr:colOff>552450</xdr:colOff>
                <xdr:row>51</xdr:row>
                <xdr:rowOff>0</xdr:rowOff>
              </to>
            </anchor>
          </controlPr>
        </control>
      </mc:Choice>
      <mc:Fallback>
        <control shapeId="334949" r:id="rId68" name="onHoldInda48"/>
      </mc:Fallback>
    </mc:AlternateContent>
    <mc:AlternateContent xmlns:mc="http://schemas.openxmlformats.org/markup-compatibility/2006">
      <mc:Choice Requires="x14">
        <control shapeId="334948" r:id="rId69" name="onHoldInda47">
          <controlPr autoLine="0" r:id="rId7">
            <anchor moveWithCells="1">
              <from>
                <xdr:col>10</xdr:col>
                <xdr:colOff>266700</xdr:colOff>
                <xdr:row>49</xdr:row>
                <xdr:rowOff>0</xdr:rowOff>
              </from>
              <to>
                <xdr:col>10</xdr:col>
                <xdr:colOff>552450</xdr:colOff>
                <xdr:row>50</xdr:row>
                <xdr:rowOff>0</xdr:rowOff>
              </to>
            </anchor>
          </controlPr>
        </control>
      </mc:Choice>
      <mc:Fallback>
        <control shapeId="334948" r:id="rId69" name="onHoldInda47"/>
      </mc:Fallback>
    </mc:AlternateContent>
    <mc:AlternateContent xmlns:mc="http://schemas.openxmlformats.org/markup-compatibility/2006">
      <mc:Choice Requires="x14">
        <control shapeId="334947" r:id="rId70" name="onHoldInda46">
          <controlPr autoLine="0" r:id="rId7">
            <anchor moveWithCells="1">
              <from>
                <xdr:col>10</xdr:col>
                <xdr:colOff>266700</xdr:colOff>
                <xdr:row>48</xdr:row>
                <xdr:rowOff>0</xdr:rowOff>
              </from>
              <to>
                <xdr:col>10</xdr:col>
                <xdr:colOff>552450</xdr:colOff>
                <xdr:row>49</xdr:row>
                <xdr:rowOff>0</xdr:rowOff>
              </to>
            </anchor>
          </controlPr>
        </control>
      </mc:Choice>
      <mc:Fallback>
        <control shapeId="334947" r:id="rId70" name="onHoldInda46"/>
      </mc:Fallback>
    </mc:AlternateContent>
    <mc:AlternateContent xmlns:mc="http://schemas.openxmlformats.org/markup-compatibility/2006">
      <mc:Choice Requires="x14">
        <control shapeId="334946" r:id="rId71" name="onHoldInda45">
          <controlPr autoLine="0" r:id="rId7">
            <anchor moveWithCells="1">
              <from>
                <xdr:col>10</xdr:col>
                <xdr:colOff>276225</xdr:colOff>
                <xdr:row>47</xdr:row>
                <xdr:rowOff>9525</xdr:rowOff>
              </from>
              <to>
                <xdr:col>10</xdr:col>
                <xdr:colOff>561975</xdr:colOff>
                <xdr:row>48</xdr:row>
                <xdr:rowOff>9525</xdr:rowOff>
              </to>
            </anchor>
          </controlPr>
        </control>
      </mc:Choice>
      <mc:Fallback>
        <control shapeId="334946" r:id="rId71" name="onHoldInda45"/>
      </mc:Fallback>
    </mc:AlternateContent>
    <mc:AlternateContent xmlns:mc="http://schemas.openxmlformats.org/markup-compatibility/2006">
      <mc:Choice Requires="x14">
        <control shapeId="334945" r:id="rId72" name="onHoldInda44">
          <controlPr autoLine="0" r:id="rId7">
            <anchor moveWithCells="1">
              <from>
                <xdr:col>10</xdr:col>
                <xdr:colOff>285750</xdr:colOff>
                <xdr:row>46</xdr:row>
                <xdr:rowOff>0</xdr:rowOff>
              </from>
              <to>
                <xdr:col>10</xdr:col>
                <xdr:colOff>571500</xdr:colOff>
                <xdr:row>47</xdr:row>
                <xdr:rowOff>0</xdr:rowOff>
              </to>
            </anchor>
          </controlPr>
        </control>
      </mc:Choice>
      <mc:Fallback>
        <control shapeId="334945" r:id="rId72" name="onHoldInda44"/>
      </mc:Fallback>
    </mc:AlternateContent>
    <mc:AlternateContent xmlns:mc="http://schemas.openxmlformats.org/markup-compatibility/2006">
      <mc:Choice Requires="x14">
        <control shapeId="334944" r:id="rId73" name="onHoldInda43">
          <controlPr autoLine="0" r:id="rId7">
            <anchor moveWithCells="1">
              <from>
                <xdr:col>10</xdr:col>
                <xdr:colOff>285750</xdr:colOff>
                <xdr:row>45</xdr:row>
                <xdr:rowOff>19050</xdr:rowOff>
              </from>
              <to>
                <xdr:col>10</xdr:col>
                <xdr:colOff>571500</xdr:colOff>
                <xdr:row>46</xdr:row>
                <xdr:rowOff>19050</xdr:rowOff>
              </to>
            </anchor>
          </controlPr>
        </control>
      </mc:Choice>
      <mc:Fallback>
        <control shapeId="334944" r:id="rId73" name="onHoldInda43"/>
      </mc:Fallback>
    </mc:AlternateContent>
    <mc:AlternateContent xmlns:mc="http://schemas.openxmlformats.org/markup-compatibility/2006">
      <mc:Choice Requires="x14">
        <control shapeId="334943" r:id="rId74" name="onHoldInda42">
          <controlPr autoLine="0" r:id="rId7">
            <anchor moveWithCells="1">
              <from>
                <xdr:col>10</xdr:col>
                <xdr:colOff>285750</xdr:colOff>
                <xdr:row>44</xdr:row>
                <xdr:rowOff>9525</xdr:rowOff>
              </from>
              <to>
                <xdr:col>10</xdr:col>
                <xdr:colOff>571500</xdr:colOff>
                <xdr:row>45</xdr:row>
                <xdr:rowOff>9525</xdr:rowOff>
              </to>
            </anchor>
          </controlPr>
        </control>
      </mc:Choice>
      <mc:Fallback>
        <control shapeId="334943" r:id="rId74" name="onHoldInda42"/>
      </mc:Fallback>
    </mc:AlternateContent>
    <mc:AlternateContent xmlns:mc="http://schemas.openxmlformats.org/markup-compatibility/2006">
      <mc:Choice Requires="x14">
        <control shapeId="334942" r:id="rId75" name="onHoldInda41">
          <controlPr autoLine="0" r:id="rId7">
            <anchor moveWithCells="1">
              <from>
                <xdr:col>10</xdr:col>
                <xdr:colOff>285750</xdr:colOff>
                <xdr:row>43</xdr:row>
                <xdr:rowOff>9525</xdr:rowOff>
              </from>
              <to>
                <xdr:col>10</xdr:col>
                <xdr:colOff>571500</xdr:colOff>
                <xdr:row>44</xdr:row>
                <xdr:rowOff>9525</xdr:rowOff>
              </to>
            </anchor>
          </controlPr>
        </control>
      </mc:Choice>
      <mc:Fallback>
        <control shapeId="334942" r:id="rId75" name="onHoldInda41"/>
      </mc:Fallback>
    </mc:AlternateContent>
    <mc:AlternateContent xmlns:mc="http://schemas.openxmlformats.org/markup-compatibility/2006">
      <mc:Choice Requires="x14">
        <control shapeId="334941" r:id="rId76" name="onHoldInda40">
          <controlPr autoLine="0" r:id="rId7">
            <anchor moveWithCells="1">
              <from>
                <xdr:col>10</xdr:col>
                <xdr:colOff>285750</xdr:colOff>
                <xdr:row>42</xdr:row>
                <xdr:rowOff>19050</xdr:rowOff>
              </from>
              <to>
                <xdr:col>10</xdr:col>
                <xdr:colOff>571500</xdr:colOff>
                <xdr:row>43</xdr:row>
                <xdr:rowOff>19050</xdr:rowOff>
              </to>
            </anchor>
          </controlPr>
        </control>
      </mc:Choice>
      <mc:Fallback>
        <control shapeId="334941" r:id="rId76" name="onHoldInda40"/>
      </mc:Fallback>
    </mc:AlternateContent>
    <mc:AlternateContent xmlns:mc="http://schemas.openxmlformats.org/markup-compatibility/2006">
      <mc:Choice Requires="x14">
        <control shapeId="334940" r:id="rId77" name="onHoldInda39">
          <controlPr autoLine="0" r:id="rId7">
            <anchor moveWithCells="1">
              <from>
                <xdr:col>10</xdr:col>
                <xdr:colOff>285750</xdr:colOff>
                <xdr:row>41</xdr:row>
                <xdr:rowOff>28575</xdr:rowOff>
              </from>
              <to>
                <xdr:col>10</xdr:col>
                <xdr:colOff>571500</xdr:colOff>
                <xdr:row>42</xdr:row>
                <xdr:rowOff>28575</xdr:rowOff>
              </to>
            </anchor>
          </controlPr>
        </control>
      </mc:Choice>
      <mc:Fallback>
        <control shapeId="334940" r:id="rId77" name="onHoldInda39"/>
      </mc:Fallback>
    </mc:AlternateContent>
    <mc:AlternateContent xmlns:mc="http://schemas.openxmlformats.org/markup-compatibility/2006">
      <mc:Choice Requires="x14">
        <control shapeId="334939" r:id="rId78" name="onHoldInda38">
          <controlPr autoLine="0" r:id="rId7">
            <anchor moveWithCells="1">
              <from>
                <xdr:col>10</xdr:col>
                <xdr:colOff>285750</xdr:colOff>
                <xdr:row>40</xdr:row>
                <xdr:rowOff>38100</xdr:rowOff>
              </from>
              <to>
                <xdr:col>10</xdr:col>
                <xdr:colOff>571500</xdr:colOff>
                <xdr:row>41</xdr:row>
                <xdr:rowOff>38100</xdr:rowOff>
              </to>
            </anchor>
          </controlPr>
        </control>
      </mc:Choice>
      <mc:Fallback>
        <control shapeId="334939" r:id="rId78" name="onHoldInda38"/>
      </mc:Fallback>
    </mc:AlternateContent>
    <mc:AlternateContent xmlns:mc="http://schemas.openxmlformats.org/markup-compatibility/2006">
      <mc:Choice Requires="x14">
        <control shapeId="334938" r:id="rId79" name="onHoldInda37">
          <controlPr autoLine="0" r:id="rId7">
            <anchor moveWithCells="1">
              <from>
                <xdr:col>10</xdr:col>
                <xdr:colOff>285750</xdr:colOff>
                <xdr:row>39</xdr:row>
                <xdr:rowOff>38100</xdr:rowOff>
              </from>
              <to>
                <xdr:col>10</xdr:col>
                <xdr:colOff>571500</xdr:colOff>
                <xdr:row>40</xdr:row>
                <xdr:rowOff>38100</xdr:rowOff>
              </to>
            </anchor>
          </controlPr>
        </control>
      </mc:Choice>
      <mc:Fallback>
        <control shapeId="334938" r:id="rId79" name="onHoldInda37"/>
      </mc:Fallback>
    </mc:AlternateContent>
    <mc:AlternateContent xmlns:mc="http://schemas.openxmlformats.org/markup-compatibility/2006">
      <mc:Choice Requires="x14">
        <control shapeId="334937" r:id="rId80" name="onHoldInda36">
          <controlPr autoLine="0" r:id="rId7">
            <anchor moveWithCells="1">
              <from>
                <xdr:col>10</xdr:col>
                <xdr:colOff>285750</xdr:colOff>
                <xdr:row>38</xdr:row>
                <xdr:rowOff>38100</xdr:rowOff>
              </from>
              <to>
                <xdr:col>10</xdr:col>
                <xdr:colOff>571500</xdr:colOff>
                <xdr:row>39</xdr:row>
                <xdr:rowOff>38100</xdr:rowOff>
              </to>
            </anchor>
          </controlPr>
        </control>
      </mc:Choice>
      <mc:Fallback>
        <control shapeId="334937" r:id="rId80" name="onHoldInda36"/>
      </mc:Fallback>
    </mc:AlternateContent>
    <mc:AlternateContent xmlns:mc="http://schemas.openxmlformats.org/markup-compatibility/2006">
      <mc:Choice Requires="x14">
        <control shapeId="334936" r:id="rId81" name="onHoldInda35">
          <controlPr autoLine="0" r:id="rId7">
            <anchor moveWithCells="1">
              <from>
                <xdr:col>10</xdr:col>
                <xdr:colOff>285750</xdr:colOff>
                <xdr:row>37</xdr:row>
                <xdr:rowOff>47625</xdr:rowOff>
              </from>
              <to>
                <xdr:col>10</xdr:col>
                <xdr:colOff>571500</xdr:colOff>
                <xdr:row>38</xdr:row>
                <xdr:rowOff>47625</xdr:rowOff>
              </to>
            </anchor>
          </controlPr>
        </control>
      </mc:Choice>
      <mc:Fallback>
        <control shapeId="334936" r:id="rId81" name="onHoldInda35"/>
      </mc:Fallback>
    </mc:AlternateContent>
    <mc:AlternateContent xmlns:mc="http://schemas.openxmlformats.org/markup-compatibility/2006">
      <mc:Choice Requires="x14">
        <control shapeId="334935" r:id="rId82" name="onHoldInda34">
          <controlPr autoLine="0" r:id="rId7">
            <anchor moveWithCells="1">
              <from>
                <xdr:col>10</xdr:col>
                <xdr:colOff>285750</xdr:colOff>
                <xdr:row>36</xdr:row>
                <xdr:rowOff>47625</xdr:rowOff>
              </from>
              <to>
                <xdr:col>10</xdr:col>
                <xdr:colOff>571500</xdr:colOff>
                <xdr:row>37</xdr:row>
                <xdr:rowOff>47625</xdr:rowOff>
              </to>
            </anchor>
          </controlPr>
        </control>
      </mc:Choice>
      <mc:Fallback>
        <control shapeId="334935" r:id="rId82" name="onHoldInda34"/>
      </mc:Fallback>
    </mc:AlternateContent>
    <mc:AlternateContent xmlns:mc="http://schemas.openxmlformats.org/markup-compatibility/2006">
      <mc:Choice Requires="x14">
        <control shapeId="334934" r:id="rId83" name="onHoldInda33">
          <controlPr autoLine="0" r:id="rId7">
            <anchor moveWithCells="1">
              <from>
                <xdr:col>10</xdr:col>
                <xdr:colOff>285750</xdr:colOff>
                <xdr:row>35</xdr:row>
                <xdr:rowOff>38100</xdr:rowOff>
              </from>
              <to>
                <xdr:col>10</xdr:col>
                <xdr:colOff>571500</xdr:colOff>
                <xdr:row>36</xdr:row>
                <xdr:rowOff>38100</xdr:rowOff>
              </to>
            </anchor>
          </controlPr>
        </control>
      </mc:Choice>
      <mc:Fallback>
        <control shapeId="334934" r:id="rId83" name="onHoldInda33"/>
      </mc:Fallback>
    </mc:AlternateContent>
    <mc:AlternateContent xmlns:mc="http://schemas.openxmlformats.org/markup-compatibility/2006">
      <mc:Choice Requires="x14">
        <control shapeId="334933" r:id="rId84" name="onHoldInda32">
          <controlPr autoLine="0" r:id="rId7">
            <anchor moveWithCells="1">
              <from>
                <xdr:col>10</xdr:col>
                <xdr:colOff>285750</xdr:colOff>
                <xdr:row>34</xdr:row>
                <xdr:rowOff>38100</xdr:rowOff>
              </from>
              <to>
                <xdr:col>10</xdr:col>
                <xdr:colOff>571500</xdr:colOff>
                <xdr:row>35</xdr:row>
                <xdr:rowOff>38100</xdr:rowOff>
              </to>
            </anchor>
          </controlPr>
        </control>
      </mc:Choice>
      <mc:Fallback>
        <control shapeId="334933" r:id="rId84" name="onHoldInda32"/>
      </mc:Fallback>
    </mc:AlternateContent>
    <mc:AlternateContent xmlns:mc="http://schemas.openxmlformats.org/markup-compatibility/2006">
      <mc:Choice Requires="x14">
        <control shapeId="334932" r:id="rId85" name="onHoldInda31">
          <controlPr autoLine="0" r:id="rId7">
            <anchor moveWithCells="1">
              <from>
                <xdr:col>10</xdr:col>
                <xdr:colOff>285750</xdr:colOff>
                <xdr:row>33</xdr:row>
                <xdr:rowOff>38100</xdr:rowOff>
              </from>
              <to>
                <xdr:col>10</xdr:col>
                <xdr:colOff>571500</xdr:colOff>
                <xdr:row>34</xdr:row>
                <xdr:rowOff>38100</xdr:rowOff>
              </to>
            </anchor>
          </controlPr>
        </control>
      </mc:Choice>
      <mc:Fallback>
        <control shapeId="334932" r:id="rId85" name="onHoldInda31"/>
      </mc:Fallback>
    </mc:AlternateContent>
    <mc:AlternateContent xmlns:mc="http://schemas.openxmlformats.org/markup-compatibility/2006">
      <mc:Choice Requires="x14">
        <control shapeId="334931" r:id="rId86" name="onHoldInda30">
          <controlPr autoLine="0" r:id="rId7">
            <anchor moveWithCells="1">
              <from>
                <xdr:col>10</xdr:col>
                <xdr:colOff>285750</xdr:colOff>
                <xdr:row>32</xdr:row>
                <xdr:rowOff>19050</xdr:rowOff>
              </from>
              <to>
                <xdr:col>10</xdr:col>
                <xdr:colOff>571500</xdr:colOff>
                <xdr:row>33</xdr:row>
                <xdr:rowOff>19050</xdr:rowOff>
              </to>
            </anchor>
          </controlPr>
        </control>
      </mc:Choice>
      <mc:Fallback>
        <control shapeId="334931" r:id="rId86" name="onHoldInda30"/>
      </mc:Fallback>
    </mc:AlternateContent>
    <mc:AlternateContent xmlns:mc="http://schemas.openxmlformats.org/markup-compatibility/2006">
      <mc:Choice Requires="x14">
        <control shapeId="334930" r:id="rId87" name="onHoldInda29">
          <controlPr autoLine="0" r:id="rId7">
            <anchor moveWithCells="1">
              <from>
                <xdr:col>10</xdr:col>
                <xdr:colOff>285750</xdr:colOff>
                <xdr:row>31</xdr:row>
                <xdr:rowOff>19050</xdr:rowOff>
              </from>
              <to>
                <xdr:col>10</xdr:col>
                <xdr:colOff>571500</xdr:colOff>
                <xdr:row>32</xdr:row>
                <xdr:rowOff>19050</xdr:rowOff>
              </to>
            </anchor>
          </controlPr>
        </control>
      </mc:Choice>
      <mc:Fallback>
        <control shapeId="334930" r:id="rId87" name="onHoldInda29"/>
      </mc:Fallback>
    </mc:AlternateContent>
    <mc:AlternateContent xmlns:mc="http://schemas.openxmlformats.org/markup-compatibility/2006">
      <mc:Choice Requires="x14">
        <control shapeId="334929" r:id="rId88" name="onHoldInda28">
          <controlPr autoLine="0" r:id="rId7">
            <anchor moveWithCells="1">
              <from>
                <xdr:col>10</xdr:col>
                <xdr:colOff>285750</xdr:colOff>
                <xdr:row>30</xdr:row>
                <xdr:rowOff>19050</xdr:rowOff>
              </from>
              <to>
                <xdr:col>10</xdr:col>
                <xdr:colOff>571500</xdr:colOff>
                <xdr:row>31</xdr:row>
                <xdr:rowOff>19050</xdr:rowOff>
              </to>
            </anchor>
          </controlPr>
        </control>
      </mc:Choice>
      <mc:Fallback>
        <control shapeId="334929" r:id="rId88" name="onHoldInda28"/>
      </mc:Fallback>
    </mc:AlternateContent>
    <mc:AlternateContent xmlns:mc="http://schemas.openxmlformats.org/markup-compatibility/2006">
      <mc:Choice Requires="x14">
        <control shapeId="334928" r:id="rId89" name="onHoldInda27">
          <controlPr autoLine="0" r:id="rId7">
            <anchor moveWithCells="1">
              <from>
                <xdr:col>10</xdr:col>
                <xdr:colOff>285750</xdr:colOff>
                <xdr:row>29</xdr:row>
                <xdr:rowOff>19050</xdr:rowOff>
              </from>
              <to>
                <xdr:col>10</xdr:col>
                <xdr:colOff>571500</xdr:colOff>
                <xdr:row>30</xdr:row>
                <xdr:rowOff>19050</xdr:rowOff>
              </to>
            </anchor>
          </controlPr>
        </control>
      </mc:Choice>
      <mc:Fallback>
        <control shapeId="334928" r:id="rId89" name="onHoldInda27"/>
      </mc:Fallback>
    </mc:AlternateContent>
    <mc:AlternateContent xmlns:mc="http://schemas.openxmlformats.org/markup-compatibility/2006">
      <mc:Choice Requires="x14">
        <control shapeId="334927" r:id="rId90" name="onHoldInda26">
          <controlPr autoLine="0" r:id="rId7">
            <anchor moveWithCells="1">
              <from>
                <xdr:col>10</xdr:col>
                <xdr:colOff>285750</xdr:colOff>
                <xdr:row>28</xdr:row>
                <xdr:rowOff>38100</xdr:rowOff>
              </from>
              <to>
                <xdr:col>10</xdr:col>
                <xdr:colOff>571500</xdr:colOff>
                <xdr:row>29</xdr:row>
                <xdr:rowOff>38100</xdr:rowOff>
              </to>
            </anchor>
          </controlPr>
        </control>
      </mc:Choice>
      <mc:Fallback>
        <control shapeId="334927" r:id="rId90" name="onHoldInda26"/>
      </mc:Fallback>
    </mc:AlternateContent>
    <mc:AlternateContent xmlns:mc="http://schemas.openxmlformats.org/markup-compatibility/2006">
      <mc:Choice Requires="x14">
        <control shapeId="334926" r:id="rId91" name="onHoldInda25">
          <controlPr autoLine="0" r:id="rId7">
            <anchor moveWithCells="1">
              <from>
                <xdr:col>10</xdr:col>
                <xdr:colOff>285750</xdr:colOff>
                <xdr:row>27</xdr:row>
                <xdr:rowOff>57150</xdr:rowOff>
              </from>
              <to>
                <xdr:col>10</xdr:col>
                <xdr:colOff>571500</xdr:colOff>
                <xdr:row>28</xdr:row>
                <xdr:rowOff>57150</xdr:rowOff>
              </to>
            </anchor>
          </controlPr>
        </control>
      </mc:Choice>
      <mc:Fallback>
        <control shapeId="334926" r:id="rId91" name="onHoldInda25"/>
      </mc:Fallback>
    </mc:AlternateContent>
    <mc:AlternateContent xmlns:mc="http://schemas.openxmlformats.org/markup-compatibility/2006">
      <mc:Choice Requires="x14">
        <control shapeId="334925" r:id="rId92" name="onHoldInda24">
          <controlPr autoLine="0" r:id="rId7">
            <anchor moveWithCells="1">
              <from>
                <xdr:col>10</xdr:col>
                <xdr:colOff>276225</xdr:colOff>
                <xdr:row>26</xdr:row>
                <xdr:rowOff>38100</xdr:rowOff>
              </from>
              <to>
                <xdr:col>10</xdr:col>
                <xdr:colOff>561975</xdr:colOff>
                <xdr:row>27</xdr:row>
                <xdr:rowOff>38100</xdr:rowOff>
              </to>
            </anchor>
          </controlPr>
        </control>
      </mc:Choice>
      <mc:Fallback>
        <control shapeId="334925" r:id="rId92" name="onHoldInda24"/>
      </mc:Fallback>
    </mc:AlternateContent>
    <mc:AlternateContent xmlns:mc="http://schemas.openxmlformats.org/markup-compatibility/2006">
      <mc:Choice Requires="x14">
        <control shapeId="334924" r:id="rId93" name="onHoldInda23">
          <controlPr autoLine="0" r:id="rId7">
            <anchor moveWithCells="1">
              <from>
                <xdr:col>10</xdr:col>
                <xdr:colOff>266700</xdr:colOff>
                <xdr:row>25</xdr:row>
                <xdr:rowOff>38100</xdr:rowOff>
              </from>
              <to>
                <xdr:col>10</xdr:col>
                <xdr:colOff>552450</xdr:colOff>
                <xdr:row>26</xdr:row>
                <xdr:rowOff>38100</xdr:rowOff>
              </to>
            </anchor>
          </controlPr>
        </control>
      </mc:Choice>
      <mc:Fallback>
        <control shapeId="334924" r:id="rId93" name="onHoldInda23"/>
      </mc:Fallback>
    </mc:AlternateContent>
    <mc:AlternateContent xmlns:mc="http://schemas.openxmlformats.org/markup-compatibility/2006">
      <mc:Choice Requires="x14">
        <control shapeId="334923" r:id="rId94" name="onHoldInda22">
          <controlPr autoLine="0" r:id="rId7">
            <anchor moveWithCells="1">
              <from>
                <xdr:col>10</xdr:col>
                <xdr:colOff>276225</xdr:colOff>
                <xdr:row>24</xdr:row>
                <xdr:rowOff>47625</xdr:rowOff>
              </from>
              <to>
                <xdr:col>10</xdr:col>
                <xdr:colOff>561975</xdr:colOff>
                <xdr:row>25</xdr:row>
                <xdr:rowOff>47625</xdr:rowOff>
              </to>
            </anchor>
          </controlPr>
        </control>
      </mc:Choice>
      <mc:Fallback>
        <control shapeId="334923" r:id="rId94" name="onHoldInda22"/>
      </mc:Fallback>
    </mc:AlternateContent>
    <mc:AlternateContent xmlns:mc="http://schemas.openxmlformats.org/markup-compatibility/2006">
      <mc:Choice Requires="x14">
        <control shapeId="334922" r:id="rId95" name="onHoldInda21">
          <controlPr autoLine="0" r:id="rId7">
            <anchor moveWithCells="1">
              <from>
                <xdr:col>10</xdr:col>
                <xdr:colOff>266700</xdr:colOff>
                <xdr:row>23</xdr:row>
                <xdr:rowOff>28575</xdr:rowOff>
              </from>
              <to>
                <xdr:col>10</xdr:col>
                <xdr:colOff>552450</xdr:colOff>
                <xdr:row>24</xdr:row>
                <xdr:rowOff>28575</xdr:rowOff>
              </to>
            </anchor>
          </controlPr>
        </control>
      </mc:Choice>
      <mc:Fallback>
        <control shapeId="334922" r:id="rId95" name="onHoldInda21"/>
      </mc:Fallback>
    </mc:AlternateContent>
    <mc:AlternateContent xmlns:mc="http://schemas.openxmlformats.org/markup-compatibility/2006">
      <mc:Choice Requires="x14">
        <control shapeId="334921" r:id="rId96" name="onHoldInda20">
          <controlPr autoLine="0" r:id="rId7">
            <anchor moveWithCells="1">
              <from>
                <xdr:col>10</xdr:col>
                <xdr:colOff>266700</xdr:colOff>
                <xdr:row>22</xdr:row>
                <xdr:rowOff>19050</xdr:rowOff>
              </from>
              <to>
                <xdr:col>10</xdr:col>
                <xdr:colOff>552450</xdr:colOff>
                <xdr:row>23</xdr:row>
                <xdr:rowOff>19050</xdr:rowOff>
              </to>
            </anchor>
          </controlPr>
        </control>
      </mc:Choice>
      <mc:Fallback>
        <control shapeId="334921" r:id="rId96" name="onHoldInda20"/>
      </mc:Fallback>
    </mc:AlternateContent>
    <mc:AlternateContent xmlns:mc="http://schemas.openxmlformats.org/markup-compatibility/2006">
      <mc:Choice Requires="x14">
        <control shapeId="334920" r:id="rId97" name="onHoldInda19">
          <controlPr autoLine="0" r:id="rId7">
            <anchor moveWithCells="1">
              <from>
                <xdr:col>10</xdr:col>
                <xdr:colOff>266700</xdr:colOff>
                <xdr:row>21</xdr:row>
                <xdr:rowOff>38100</xdr:rowOff>
              </from>
              <to>
                <xdr:col>10</xdr:col>
                <xdr:colOff>552450</xdr:colOff>
                <xdr:row>22</xdr:row>
                <xdr:rowOff>38100</xdr:rowOff>
              </to>
            </anchor>
          </controlPr>
        </control>
      </mc:Choice>
      <mc:Fallback>
        <control shapeId="334920" r:id="rId97" name="onHoldInda19"/>
      </mc:Fallback>
    </mc:AlternateContent>
    <mc:AlternateContent xmlns:mc="http://schemas.openxmlformats.org/markup-compatibility/2006">
      <mc:Choice Requires="x14">
        <control shapeId="334919" r:id="rId98" name="onHoldInda18">
          <controlPr autoLine="0" r:id="rId7">
            <anchor moveWithCells="1">
              <from>
                <xdr:col>10</xdr:col>
                <xdr:colOff>266700</xdr:colOff>
                <xdr:row>20</xdr:row>
                <xdr:rowOff>38100</xdr:rowOff>
              </from>
              <to>
                <xdr:col>10</xdr:col>
                <xdr:colOff>552450</xdr:colOff>
                <xdr:row>21</xdr:row>
                <xdr:rowOff>38100</xdr:rowOff>
              </to>
            </anchor>
          </controlPr>
        </control>
      </mc:Choice>
      <mc:Fallback>
        <control shapeId="334919" r:id="rId98" name="onHoldInda18"/>
      </mc:Fallback>
    </mc:AlternateContent>
    <mc:AlternateContent xmlns:mc="http://schemas.openxmlformats.org/markup-compatibility/2006">
      <mc:Choice Requires="x14">
        <control shapeId="334918" r:id="rId99" name="onHoldInda17">
          <controlPr autoLine="0" r:id="rId7">
            <anchor moveWithCells="1">
              <from>
                <xdr:col>10</xdr:col>
                <xdr:colOff>266700</xdr:colOff>
                <xdr:row>19</xdr:row>
                <xdr:rowOff>47625</xdr:rowOff>
              </from>
              <to>
                <xdr:col>10</xdr:col>
                <xdr:colOff>552450</xdr:colOff>
                <xdr:row>20</xdr:row>
                <xdr:rowOff>47625</xdr:rowOff>
              </to>
            </anchor>
          </controlPr>
        </control>
      </mc:Choice>
      <mc:Fallback>
        <control shapeId="334918" r:id="rId99" name="onHoldInda17"/>
      </mc:Fallback>
    </mc:AlternateContent>
    <mc:AlternateContent xmlns:mc="http://schemas.openxmlformats.org/markup-compatibility/2006">
      <mc:Choice Requires="x14">
        <control shapeId="334917" r:id="rId100" name="onHoldInda16">
          <controlPr autoLine="0" r:id="rId7">
            <anchor moveWithCells="1">
              <from>
                <xdr:col>10</xdr:col>
                <xdr:colOff>266700</xdr:colOff>
                <xdr:row>18</xdr:row>
                <xdr:rowOff>38100</xdr:rowOff>
              </from>
              <to>
                <xdr:col>10</xdr:col>
                <xdr:colOff>552450</xdr:colOff>
                <xdr:row>19</xdr:row>
                <xdr:rowOff>38100</xdr:rowOff>
              </to>
            </anchor>
          </controlPr>
        </control>
      </mc:Choice>
      <mc:Fallback>
        <control shapeId="334917" r:id="rId100" name="onHoldInda16"/>
      </mc:Fallback>
    </mc:AlternateContent>
    <mc:AlternateContent xmlns:mc="http://schemas.openxmlformats.org/markup-compatibility/2006">
      <mc:Choice Requires="x14">
        <control shapeId="334916" r:id="rId101" name="onHoldInda15">
          <controlPr autoLine="0" r:id="rId7">
            <anchor moveWithCells="1">
              <from>
                <xdr:col>10</xdr:col>
                <xdr:colOff>257175</xdr:colOff>
                <xdr:row>17</xdr:row>
                <xdr:rowOff>28575</xdr:rowOff>
              </from>
              <to>
                <xdr:col>10</xdr:col>
                <xdr:colOff>542925</xdr:colOff>
                <xdr:row>18</xdr:row>
                <xdr:rowOff>28575</xdr:rowOff>
              </to>
            </anchor>
          </controlPr>
        </control>
      </mc:Choice>
      <mc:Fallback>
        <control shapeId="334916" r:id="rId101" name="onHoldInda15"/>
      </mc:Fallback>
    </mc:AlternateContent>
    <mc:AlternateContent xmlns:mc="http://schemas.openxmlformats.org/markup-compatibility/2006">
      <mc:Choice Requires="x14">
        <control shapeId="334915" r:id="rId102" name="onHoldInda14">
          <controlPr autoLine="0" r:id="rId7">
            <anchor moveWithCells="1">
              <from>
                <xdr:col>10</xdr:col>
                <xdr:colOff>257175</xdr:colOff>
                <xdr:row>16</xdr:row>
                <xdr:rowOff>28575</xdr:rowOff>
              </from>
              <to>
                <xdr:col>10</xdr:col>
                <xdr:colOff>542925</xdr:colOff>
                <xdr:row>17</xdr:row>
                <xdr:rowOff>28575</xdr:rowOff>
              </to>
            </anchor>
          </controlPr>
        </control>
      </mc:Choice>
      <mc:Fallback>
        <control shapeId="334915" r:id="rId102" name="onHoldInda14"/>
      </mc:Fallback>
    </mc:AlternateContent>
    <mc:AlternateContent xmlns:mc="http://schemas.openxmlformats.org/markup-compatibility/2006">
      <mc:Choice Requires="x14">
        <control shapeId="334914" r:id="rId103" name="onHoldInda13">
          <controlPr autoLine="0" r:id="rId7">
            <anchor moveWithCells="1">
              <from>
                <xdr:col>10</xdr:col>
                <xdr:colOff>247650</xdr:colOff>
                <xdr:row>15</xdr:row>
                <xdr:rowOff>28575</xdr:rowOff>
              </from>
              <to>
                <xdr:col>10</xdr:col>
                <xdr:colOff>533400</xdr:colOff>
                <xdr:row>16</xdr:row>
                <xdr:rowOff>28575</xdr:rowOff>
              </to>
            </anchor>
          </controlPr>
        </control>
      </mc:Choice>
      <mc:Fallback>
        <control shapeId="334914" r:id="rId103" name="onHoldInda13"/>
      </mc:Fallback>
    </mc:AlternateContent>
    <mc:AlternateContent xmlns:mc="http://schemas.openxmlformats.org/markup-compatibility/2006">
      <mc:Choice Requires="x14">
        <control shapeId="334913" r:id="rId104" name="onHoldInda12">
          <controlPr autoLine="0" r:id="rId7">
            <anchor moveWithCells="1">
              <from>
                <xdr:col>10</xdr:col>
                <xdr:colOff>247650</xdr:colOff>
                <xdr:row>14</xdr:row>
                <xdr:rowOff>19050</xdr:rowOff>
              </from>
              <to>
                <xdr:col>10</xdr:col>
                <xdr:colOff>533400</xdr:colOff>
                <xdr:row>15</xdr:row>
                <xdr:rowOff>19050</xdr:rowOff>
              </to>
            </anchor>
          </controlPr>
        </control>
      </mc:Choice>
      <mc:Fallback>
        <control shapeId="334913" r:id="rId104" name="onHoldInda12"/>
      </mc:Fallback>
    </mc:AlternateContent>
    <mc:AlternateContent xmlns:mc="http://schemas.openxmlformats.org/markup-compatibility/2006">
      <mc:Choice Requires="x14">
        <control shapeId="334912" r:id="rId105" name="onHoldInda6">
          <controlPr autoLine="0" r:id="rId7">
            <anchor moveWithCells="1">
              <from>
                <xdr:col>10</xdr:col>
                <xdr:colOff>238125</xdr:colOff>
                <xdr:row>8</xdr:row>
                <xdr:rowOff>0</xdr:rowOff>
              </from>
              <to>
                <xdr:col>10</xdr:col>
                <xdr:colOff>523875</xdr:colOff>
                <xdr:row>9</xdr:row>
                <xdr:rowOff>0</xdr:rowOff>
              </to>
            </anchor>
          </controlPr>
        </control>
      </mc:Choice>
      <mc:Fallback>
        <control shapeId="334912" r:id="rId105" name="onHoldInda6"/>
      </mc:Fallback>
    </mc:AlternateContent>
    <mc:AlternateContent xmlns:mc="http://schemas.openxmlformats.org/markup-compatibility/2006">
      <mc:Choice Requires="x14">
        <control shapeId="334911" r:id="rId106" name="onHoldInda9">
          <controlPr autoLine="0" r:id="rId7">
            <anchor moveWithCells="1">
              <from>
                <xdr:col>10</xdr:col>
                <xdr:colOff>238125</xdr:colOff>
                <xdr:row>11</xdr:row>
                <xdr:rowOff>38100</xdr:rowOff>
              </from>
              <to>
                <xdr:col>10</xdr:col>
                <xdr:colOff>523875</xdr:colOff>
                <xdr:row>12</xdr:row>
                <xdr:rowOff>38100</xdr:rowOff>
              </to>
            </anchor>
          </controlPr>
        </control>
      </mc:Choice>
      <mc:Fallback>
        <control shapeId="334911" r:id="rId106" name="onHoldInda9"/>
      </mc:Fallback>
    </mc:AlternateContent>
    <mc:AlternateContent xmlns:mc="http://schemas.openxmlformats.org/markup-compatibility/2006">
      <mc:Choice Requires="x14">
        <control shapeId="334910" r:id="rId107" name="onHoldInda11">
          <controlPr autoLine="0" r:id="rId7">
            <anchor moveWithCells="1">
              <from>
                <xdr:col>10</xdr:col>
                <xdr:colOff>238125</xdr:colOff>
                <xdr:row>13</xdr:row>
                <xdr:rowOff>0</xdr:rowOff>
              </from>
              <to>
                <xdr:col>10</xdr:col>
                <xdr:colOff>523875</xdr:colOff>
                <xdr:row>14</xdr:row>
                <xdr:rowOff>0</xdr:rowOff>
              </to>
            </anchor>
          </controlPr>
        </control>
      </mc:Choice>
      <mc:Fallback>
        <control shapeId="334910" r:id="rId107" name="onHoldInda11"/>
      </mc:Fallback>
    </mc:AlternateContent>
    <mc:AlternateContent xmlns:mc="http://schemas.openxmlformats.org/markup-compatibility/2006">
      <mc:Choice Requires="x14">
        <control shapeId="334909" r:id="rId108" name="onHoldInda10">
          <controlPr autoLine="0" r:id="rId7">
            <anchor moveWithCells="1">
              <from>
                <xdr:col>10</xdr:col>
                <xdr:colOff>238125</xdr:colOff>
                <xdr:row>12</xdr:row>
                <xdr:rowOff>28575</xdr:rowOff>
              </from>
              <to>
                <xdr:col>10</xdr:col>
                <xdr:colOff>523875</xdr:colOff>
                <xdr:row>13</xdr:row>
                <xdr:rowOff>28575</xdr:rowOff>
              </to>
            </anchor>
          </controlPr>
        </control>
      </mc:Choice>
      <mc:Fallback>
        <control shapeId="334909" r:id="rId108" name="onHoldInda10"/>
      </mc:Fallback>
    </mc:AlternateContent>
    <mc:AlternateContent xmlns:mc="http://schemas.openxmlformats.org/markup-compatibility/2006">
      <mc:Choice Requires="x14">
        <control shapeId="334908" r:id="rId109" name="onHoldInda8">
          <controlPr autoLine="0" r:id="rId7">
            <anchor moveWithCells="1">
              <from>
                <xdr:col>10</xdr:col>
                <xdr:colOff>238125</xdr:colOff>
                <xdr:row>10</xdr:row>
                <xdr:rowOff>28575</xdr:rowOff>
              </from>
              <to>
                <xdr:col>10</xdr:col>
                <xdr:colOff>523875</xdr:colOff>
                <xdr:row>11</xdr:row>
                <xdr:rowOff>28575</xdr:rowOff>
              </to>
            </anchor>
          </controlPr>
        </control>
      </mc:Choice>
      <mc:Fallback>
        <control shapeId="334908" r:id="rId109" name="onHoldInda8"/>
      </mc:Fallback>
    </mc:AlternateContent>
    <mc:AlternateContent xmlns:mc="http://schemas.openxmlformats.org/markup-compatibility/2006">
      <mc:Choice Requires="x14">
        <control shapeId="334907" r:id="rId110" name="onHoldInda7">
          <controlPr autoLine="0" r:id="rId7">
            <anchor moveWithCells="1">
              <from>
                <xdr:col>10</xdr:col>
                <xdr:colOff>238125</xdr:colOff>
                <xdr:row>9</xdr:row>
                <xdr:rowOff>9525</xdr:rowOff>
              </from>
              <to>
                <xdr:col>10</xdr:col>
                <xdr:colOff>523875</xdr:colOff>
                <xdr:row>10</xdr:row>
                <xdr:rowOff>9525</xdr:rowOff>
              </to>
            </anchor>
          </controlPr>
        </control>
      </mc:Choice>
      <mc:Fallback>
        <control shapeId="334907" r:id="rId110" name="onHoldInda7"/>
      </mc:Fallback>
    </mc:AlternateContent>
    <mc:AlternateContent xmlns:mc="http://schemas.openxmlformats.org/markup-compatibility/2006">
      <mc:Choice Requires="x14">
        <control shapeId="334906" r:id="rId111" name="onHoldInda5">
          <controlPr autoLine="0" r:id="rId58">
            <anchor moveWithCells="1">
              <from>
                <xdr:col>10</xdr:col>
                <xdr:colOff>238125</xdr:colOff>
                <xdr:row>7</xdr:row>
                <xdr:rowOff>9525</xdr:rowOff>
              </from>
              <to>
                <xdr:col>10</xdr:col>
                <xdr:colOff>523875</xdr:colOff>
                <xdr:row>8</xdr:row>
                <xdr:rowOff>9525</xdr:rowOff>
              </to>
            </anchor>
          </controlPr>
        </control>
      </mc:Choice>
      <mc:Fallback>
        <control shapeId="334906" r:id="rId111" name="onHoldInda5"/>
      </mc:Fallback>
    </mc:AlternateContent>
    <mc:AlternateContent xmlns:mc="http://schemas.openxmlformats.org/markup-compatibility/2006">
      <mc:Choice Requires="x14">
        <control shapeId="334905" r:id="rId112" name="onHoldInda4">
          <controlPr autoLine="0" r:id="rId58">
            <anchor moveWithCells="1">
              <from>
                <xdr:col>10</xdr:col>
                <xdr:colOff>238125</xdr:colOff>
                <xdr:row>6</xdr:row>
                <xdr:rowOff>238125</xdr:rowOff>
              </from>
              <to>
                <xdr:col>10</xdr:col>
                <xdr:colOff>523875</xdr:colOff>
                <xdr:row>7</xdr:row>
                <xdr:rowOff>47625</xdr:rowOff>
              </to>
            </anchor>
          </controlPr>
        </control>
      </mc:Choice>
      <mc:Fallback>
        <control shapeId="334905" r:id="rId112" name="onHoldInda4"/>
      </mc:Fallback>
    </mc:AlternateContent>
    <mc:AlternateContent xmlns:mc="http://schemas.openxmlformats.org/markup-compatibility/2006">
      <mc:Choice Requires="x14">
        <control shapeId="334904" r:id="rId113" name="onHoldInda3">
          <controlPr autoLine="0" r:id="rId58">
            <anchor moveWithCells="1">
              <from>
                <xdr:col>10</xdr:col>
                <xdr:colOff>228600</xdr:colOff>
                <xdr:row>5</xdr:row>
                <xdr:rowOff>257175</xdr:rowOff>
              </from>
              <to>
                <xdr:col>10</xdr:col>
                <xdr:colOff>514350</xdr:colOff>
                <xdr:row>6</xdr:row>
                <xdr:rowOff>66675</xdr:rowOff>
              </to>
            </anchor>
          </controlPr>
        </control>
      </mc:Choice>
      <mc:Fallback>
        <control shapeId="334904" r:id="rId113" name="onHoldInda3"/>
      </mc:Fallback>
    </mc:AlternateContent>
    <mc:AlternateContent xmlns:mc="http://schemas.openxmlformats.org/markup-compatibility/2006">
      <mc:Choice Requires="x14">
        <control shapeId="334903" r:id="rId114" name="onHoldInda2">
          <controlPr autoLine="0" r:id="rId5">
            <anchor moveWithCells="1">
              <from>
                <xdr:col>10</xdr:col>
                <xdr:colOff>219075</xdr:colOff>
                <xdr:row>4</xdr:row>
                <xdr:rowOff>38100</xdr:rowOff>
              </from>
              <to>
                <xdr:col>10</xdr:col>
                <xdr:colOff>514350</xdr:colOff>
                <xdr:row>5</xdr:row>
                <xdr:rowOff>38100</xdr:rowOff>
              </to>
            </anchor>
          </controlPr>
        </control>
      </mc:Choice>
      <mc:Fallback>
        <control shapeId="334903" r:id="rId114" name="onHoldInda2"/>
      </mc:Fallback>
    </mc:AlternateContent>
    <mc:AlternateContent xmlns:mc="http://schemas.openxmlformats.org/markup-compatibility/2006">
      <mc:Choice Requires="x14">
        <control shapeId="334902" r:id="rId115" name="onHoldSchmid1">
          <controlPr autoLine="0" r:id="rId5">
            <anchor moveWithCells="1">
              <from>
                <xdr:col>5</xdr:col>
                <xdr:colOff>219075</xdr:colOff>
                <xdr:row>3</xdr:row>
                <xdr:rowOff>28575</xdr:rowOff>
              </from>
              <to>
                <xdr:col>5</xdr:col>
                <xdr:colOff>514350</xdr:colOff>
                <xdr:row>4</xdr:row>
                <xdr:rowOff>28575</xdr:rowOff>
              </to>
            </anchor>
          </controlPr>
        </control>
      </mc:Choice>
      <mc:Fallback>
        <control shapeId="334902" r:id="rId115" name="onHoldSchmid1"/>
      </mc:Fallback>
    </mc:AlternateContent>
    <mc:AlternateContent xmlns:mc="http://schemas.openxmlformats.org/markup-compatibility/2006">
      <mc:Choice Requires="x14">
        <control shapeId="334901" r:id="rId116" name="onHoldSchmid54">
          <controlPr autoLine="0" r:id="rId7">
            <anchor moveWithCells="1">
              <from>
                <xdr:col>5</xdr:col>
                <xdr:colOff>276225</xdr:colOff>
                <xdr:row>56</xdr:row>
                <xdr:rowOff>28575</xdr:rowOff>
              </from>
              <to>
                <xdr:col>5</xdr:col>
                <xdr:colOff>561975</xdr:colOff>
                <xdr:row>57</xdr:row>
                <xdr:rowOff>28575</xdr:rowOff>
              </to>
            </anchor>
          </controlPr>
        </control>
      </mc:Choice>
      <mc:Fallback>
        <control shapeId="334901" r:id="rId116" name="onHoldSchmid54"/>
      </mc:Fallback>
    </mc:AlternateContent>
    <mc:AlternateContent xmlns:mc="http://schemas.openxmlformats.org/markup-compatibility/2006">
      <mc:Choice Requires="x14">
        <control shapeId="334900" r:id="rId117" name="onHoldSchmid53">
          <controlPr autoLine="0" r:id="rId7">
            <anchor moveWithCells="1">
              <from>
                <xdr:col>5</xdr:col>
                <xdr:colOff>276225</xdr:colOff>
                <xdr:row>55</xdr:row>
                <xdr:rowOff>9525</xdr:rowOff>
              </from>
              <to>
                <xdr:col>5</xdr:col>
                <xdr:colOff>561975</xdr:colOff>
                <xdr:row>56</xdr:row>
                <xdr:rowOff>9525</xdr:rowOff>
              </to>
            </anchor>
          </controlPr>
        </control>
      </mc:Choice>
      <mc:Fallback>
        <control shapeId="334900" r:id="rId117" name="onHoldSchmid53"/>
      </mc:Fallback>
    </mc:AlternateContent>
    <mc:AlternateContent xmlns:mc="http://schemas.openxmlformats.org/markup-compatibility/2006">
      <mc:Choice Requires="x14">
        <control shapeId="334899" r:id="rId118" name="CheckBox51">
          <controlPr autoLine="0" r:id="rId7">
            <anchor moveWithCells="1">
              <from>
                <xdr:col>5</xdr:col>
                <xdr:colOff>276225</xdr:colOff>
                <xdr:row>54</xdr:row>
                <xdr:rowOff>0</xdr:rowOff>
              </from>
              <to>
                <xdr:col>5</xdr:col>
                <xdr:colOff>561975</xdr:colOff>
                <xdr:row>55</xdr:row>
                <xdr:rowOff>0</xdr:rowOff>
              </to>
            </anchor>
          </controlPr>
        </control>
      </mc:Choice>
      <mc:Fallback>
        <control shapeId="334899" r:id="rId118" name="CheckBox51"/>
      </mc:Fallback>
    </mc:AlternateContent>
    <mc:AlternateContent xmlns:mc="http://schemas.openxmlformats.org/markup-compatibility/2006">
      <mc:Choice Requires="x14">
        <control shapeId="334898" r:id="rId119" name="onHoldSchmid51">
          <controlPr autoLine="0" r:id="rId7">
            <anchor moveWithCells="1">
              <from>
                <xdr:col>5</xdr:col>
                <xdr:colOff>276225</xdr:colOff>
                <xdr:row>53</xdr:row>
                <xdr:rowOff>0</xdr:rowOff>
              </from>
              <to>
                <xdr:col>5</xdr:col>
                <xdr:colOff>561975</xdr:colOff>
                <xdr:row>54</xdr:row>
                <xdr:rowOff>0</xdr:rowOff>
              </to>
            </anchor>
          </controlPr>
        </control>
      </mc:Choice>
      <mc:Fallback>
        <control shapeId="334898" r:id="rId119" name="onHoldSchmid51"/>
      </mc:Fallback>
    </mc:AlternateContent>
    <mc:AlternateContent xmlns:mc="http://schemas.openxmlformats.org/markup-compatibility/2006">
      <mc:Choice Requires="x14">
        <control shapeId="334897" r:id="rId120" name="CheckBox49">
          <controlPr autoLine="0" r:id="rId7">
            <anchor moveWithCells="1">
              <from>
                <xdr:col>5</xdr:col>
                <xdr:colOff>276225</xdr:colOff>
                <xdr:row>52</xdr:row>
                <xdr:rowOff>9525</xdr:rowOff>
              </from>
              <to>
                <xdr:col>5</xdr:col>
                <xdr:colOff>561975</xdr:colOff>
                <xdr:row>53</xdr:row>
                <xdr:rowOff>9525</xdr:rowOff>
              </to>
            </anchor>
          </controlPr>
        </control>
      </mc:Choice>
      <mc:Fallback>
        <control shapeId="334897" r:id="rId120" name="CheckBox49"/>
      </mc:Fallback>
    </mc:AlternateContent>
    <mc:AlternateContent xmlns:mc="http://schemas.openxmlformats.org/markup-compatibility/2006">
      <mc:Choice Requires="x14">
        <control shapeId="334896" r:id="rId121" name="onHoldSchmid49">
          <controlPr autoLine="0" r:id="rId7">
            <anchor moveWithCells="1">
              <from>
                <xdr:col>5</xdr:col>
                <xdr:colOff>266700</xdr:colOff>
                <xdr:row>50</xdr:row>
                <xdr:rowOff>171450</xdr:rowOff>
              </from>
              <to>
                <xdr:col>5</xdr:col>
                <xdr:colOff>552450</xdr:colOff>
                <xdr:row>51</xdr:row>
                <xdr:rowOff>171450</xdr:rowOff>
              </to>
            </anchor>
          </controlPr>
        </control>
      </mc:Choice>
      <mc:Fallback>
        <control shapeId="334896" r:id="rId121" name="onHoldSchmid49"/>
      </mc:Fallback>
    </mc:AlternateContent>
    <mc:AlternateContent xmlns:mc="http://schemas.openxmlformats.org/markup-compatibility/2006">
      <mc:Choice Requires="x14">
        <control shapeId="334895" r:id="rId122" name="onHoldSchmid48">
          <controlPr autoLine="0" r:id="rId7">
            <anchor moveWithCells="1">
              <from>
                <xdr:col>5</xdr:col>
                <xdr:colOff>266700</xdr:colOff>
                <xdr:row>50</xdr:row>
                <xdr:rowOff>0</xdr:rowOff>
              </from>
              <to>
                <xdr:col>5</xdr:col>
                <xdr:colOff>552450</xdr:colOff>
                <xdr:row>51</xdr:row>
                <xdr:rowOff>0</xdr:rowOff>
              </to>
            </anchor>
          </controlPr>
        </control>
      </mc:Choice>
      <mc:Fallback>
        <control shapeId="334895" r:id="rId122" name="onHoldSchmid48"/>
      </mc:Fallback>
    </mc:AlternateContent>
    <mc:AlternateContent xmlns:mc="http://schemas.openxmlformats.org/markup-compatibility/2006">
      <mc:Choice Requires="x14">
        <control shapeId="334894" r:id="rId123" name="onHoldSchmid47">
          <controlPr autoLine="0" r:id="rId7">
            <anchor moveWithCells="1">
              <from>
                <xdr:col>5</xdr:col>
                <xdr:colOff>266700</xdr:colOff>
                <xdr:row>49</xdr:row>
                <xdr:rowOff>0</xdr:rowOff>
              </from>
              <to>
                <xdr:col>5</xdr:col>
                <xdr:colOff>552450</xdr:colOff>
                <xdr:row>50</xdr:row>
                <xdr:rowOff>0</xdr:rowOff>
              </to>
            </anchor>
          </controlPr>
        </control>
      </mc:Choice>
      <mc:Fallback>
        <control shapeId="334894" r:id="rId123" name="onHoldSchmid47"/>
      </mc:Fallback>
    </mc:AlternateContent>
    <mc:AlternateContent xmlns:mc="http://schemas.openxmlformats.org/markup-compatibility/2006">
      <mc:Choice Requires="x14">
        <control shapeId="334893" r:id="rId124" name="onHoldSchmid46">
          <controlPr autoLine="0" r:id="rId7">
            <anchor moveWithCells="1">
              <from>
                <xdr:col>5</xdr:col>
                <xdr:colOff>266700</xdr:colOff>
                <xdr:row>48</xdr:row>
                <xdr:rowOff>0</xdr:rowOff>
              </from>
              <to>
                <xdr:col>5</xdr:col>
                <xdr:colOff>552450</xdr:colOff>
                <xdr:row>49</xdr:row>
                <xdr:rowOff>0</xdr:rowOff>
              </to>
            </anchor>
          </controlPr>
        </control>
      </mc:Choice>
      <mc:Fallback>
        <control shapeId="334893" r:id="rId124" name="onHoldSchmid46"/>
      </mc:Fallback>
    </mc:AlternateContent>
    <mc:AlternateContent xmlns:mc="http://schemas.openxmlformats.org/markup-compatibility/2006">
      <mc:Choice Requires="x14">
        <control shapeId="334892" r:id="rId125" name="onHoldSchmid45">
          <controlPr autoLine="0" r:id="rId7">
            <anchor moveWithCells="1">
              <from>
                <xdr:col>5</xdr:col>
                <xdr:colOff>276225</xdr:colOff>
                <xdr:row>47</xdr:row>
                <xdr:rowOff>9525</xdr:rowOff>
              </from>
              <to>
                <xdr:col>5</xdr:col>
                <xdr:colOff>561975</xdr:colOff>
                <xdr:row>48</xdr:row>
                <xdr:rowOff>9525</xdr:rowOff>
              </to>
            </anchor>
          </controlPr>
        </control>
      </mc:Choice>
      <mc:Fallback>
        <control shapeId="334892" r:id="rId125" name="onHoldSchmid45"/>
      </mc:Fallback>
    </mc:AlternateContent>
    <mc:AlternateContent xmlns:mc="http://schemas.openxmlformats.org/markup-compatibility/2006">
      <mc:Choice Requires="x14">
        <control shapeId="334891" r:id="rId126" name="onHoldSchmid44">
          <controlPr autoLine="0" r:id="rId7">
            <anchor moveWithCells="1">
              <from>
                <xdr:col>5</xdr:col>
                <xdr:colOff>285750</xdr:colOff>
                <xdr:row>46</xdr:row>
                <xdr:rowOff>0</xdr:rowOff>
              </from>
              <to>
                <xdr:col>5</xdr:col>
                <xdr:colOff>571500</xdr:colOff>
                <xdr:row>47</xdr:row>
                <xdr:rowOff>0</xdr:rowOff>
              </to>
            </anchor>
          </controlPr>
        </control>
      </mc:Choice>
      <mc:Fallback>
        <control shapeId="334891" r:id="rId126" name="onHoldSchmid44"/>
      </mc:Fallback>
    </mc:AlternateContent>
    <mc:AlternateContent xmlns:mc="http://schemas.openxmlformats.org/markup-compatibility/2006">
      <mc:Choice Requires="x14">
        <control shapeId="334890" r:id="rId127" name="onHoldSchmid43">
          <controlPr autoLine="0" r:id="rId7">
            <anchor moveWithCells="1">
              <from>
                <xdr:col>5</xdr:col>
                <xdr:colOff>285750</xdr:colOff>
                <xdr:row>45</xdr:row>
                <xdr:rowOff>19050</xdr:rowOff>
              </from>
              <to>
                <xdr:col>5</xdr:col>
                <xdr:colOff>571500</xdr:colOff>
                <xdr:row>46</xdr:row>
                <xdr:rowOff>19050</xdr:rowOff>
              </to>
            </anchor>
          </controlPr>
        </control>
      </mc:Choice>
      <mc:Fallback>
        <control shapeId="334890" r:id="rId127" name="onHoldSchmid43"/>
      </mc:Fallback>
    </mc:AlternateContent>
    <mc:AlternateContent xmlns:mc="http://schemas.openxmlformats.org/markup-compatibility/2006">
      <mc:Choice Requires="x14">
        <control shapeId="334889" r:id="rId128" name="onHoldSchmid42">
          <controlPr autoLine="0" r:id="rId7">
            <anchor moveWithCells="1">
              <from>
                <xdr:col>5</xdr:col>
                <xdr:colOff>285750</xdr:colOff>
                <xdr:row>44</xdr:row>
                <xdr:rowOff>9525</xdr:rowOff>
              </from>
              <to>
                <xdr:col>5</xdr:col>
                <xdr:colOff>571500</xdr:colOff>
                <xdr:row>45</xdr:row>
                <xdr:rowOff>9525</xdr:rowOff>
              </to>
            </anchor>
          </controlPr>
        </control>
      </mc:Choice>
      <mc:Fallback>
        <control shapeId="334889" r:id="rId128" name="onHoldSchmid42"/>
      </mc:Fallback>
    </mc:AlternateContent>
    <mc:AlternateContent xmlns:mc="http://schemas.openxmlformats.org/markup-compatibility/2006">
      <mc:Choice Requires="x14">
        <control shapeId="334888" r:id="rId129" name="onHoldSchmid41">
          <controlPr autoLine="0" r:id="rId7">
            <anchor moveWithCells="1">
              <from>
                <xdr:col>5</xdr:col>
                <xdr:colOff>285750</xdr:colOff>
                <xdr:row>43</xdr:row>
                <xdr:rowOff>9525</xdr:rowOff>
              </from>
              <to>
                <xdr:col>5</xdr:col>
                <xdr:colOff>571500</xdr:colOff>
                <xdr:row>44</xdr:row>
                <xdr:rowOff>9525</xdr:rowOff>
              </to>
            </anchor>
          </controlPr>
        </control>
      </mc:Choice>
      <mc:Fallback>
        <control shapeId="334888" r:id="rId129" name="onHoldSchmid41"/>
      </mc:Fallback>
    </mc:AlternateContent>
    <mc:AlternateContent xmlns:mc="http://schemas.openxmlformats.org/markup-compatibility/2006">
      <mc:Choice Requires="x14">
        <control shapeId="334887" r:id="rId130" name="onHoldSchmid40">
          <controlPr autoLine="0" r:id="rId7">
            <anchor moveWithCells="1">
              <from>
                <xdr:col>5</xdr:col>
                <xdr:colOff>285750</xdr:colOff>
                <xdr:row>42</xdr:row>
                <xdr:rowOff>19050</xdr:rowOff>
              </from>
              <to>
                <xdr:col>5</xdr:col>
                <xdr:colOff>571500</xdr:colOff>
                <xdr:row>43</xdr:row>
                <xdr:rowOff>19050</xdr:rowOff>
              </to>
            </anchor>
          </controlPr>
        </control>
      </mc:Choice>
      <mc:Fallback>
        <control shapeId="334887" r:id="rId130" name="onHoldSchmid40"/>
      </mc:Fallback>
    </mc:AlternateContent>
    <mc:AlternateContent xmlns:mc="http://schemas.openxmlformats.org/markup-compatibility/2006">
      <mc:Choice Requires="x14">
        <control shapeId="334886" r:id="rId131" name="onHoldSchmid39">
          <controlPr autoLine="0" r:id="rId7">
            <anchor moveWithCells="1">
              <from>
                <xdr:col>5</xdr:col>
                <xdr:colOff>285750</xdr:colOff>
                <xdr:row>41</xdr:row>
                <xdr:rowOff>28575</xdr:rowOff>
              </from>
              <to>
                <xdr:col>5</xdr:col>
                <xdr:colOff>571500</xdr:colOff>
                <xdr:row>42</xdr:row>
                <xdr:rowOff>28575</xdr:rowOff>
              </to>
            </anchor>
          </controlPr>
        </control>
      </mc:Choice>
      <mc:Fallback>
        <control shapeId="334886" r:id="rId131" name="onHoldSchmid39"/>
      </mc:Fallback>
    </mc:AlternateContent>
    <mc:AlternateContent xmlns:mc="http://schemas.openxmlformats.org/markup-compatibility/2006">
      <mc:Choice Requires="x14">
        <control shapeId="334885" r:id="rId132" name="onHoldSchmid38">
          <controlPr autoLine="0" r:id="rId7">
            <anchor moveWithCells="1">
              <from>
                <xdr:col>5</xdr:col>
                <xdr:colOff>285750</xdr:colOff>
                <xdr:row>40</xdr:row>
                <xdr:rowOff>38100</xdr:rowOff>
              </from>
              <to>
                <xdr:col>5</xdr:col>
                <xdr:colOff>571500</xdr:colOff>
                <xdr:row>41</xdr:row>
                <xdr:rowOff>38100</xdr:rowOff>
              </to>
            </anchor>
          </controlPr>
        </control>
      </mc:Choice>
      <mc:Fallback>
        <control shapeId="334885" r:id="rId132" name="onHoldSchmid38"/>
      </mc:Fallback>
    </mc:AlternateContent>
    <mc:AlternateContent xmlns:mc="http://schemas.openxmlformats.org/markup-compatibility/2006">
      <mc:Choice Requires="x14">
        <control shapeId="334884" r:id="rId133" name="onHoldSchmid37">
          <controlPr autoLine="0" r:id="rId7">
            <anchor moveWithCells="1">
              <from>
                <xdr:col>5</xdr:col>
                <xdr:colOff>285750</xdr:colOff>
                <xdr:row>39</xdr:row>
                <xdr:rowOff>38100</xdr:rowOff>
              </from>
              <to>
                <xdr:col>5</xdr:col>
                <xdr:colOff>571500</xdr:colOff>
                <xdr:row>40</xdr:row>
                <xdr:rowOff>38100</xdr:rowOff>
              </to>
            </anchor>
          </controlPr>
        </control>
      </mc:Choice>
      <mc:Fallback>
        <control shapeId="334884" r:id="rId133" name="onHoldSchmid37"/>
      </mc:Fallback>
    </mc:AlternateContent>
    <mc:AlternateContent xmlns:mc="http://schemas.openxmlformats.org/markup-compatibility/2006">
      <mc:Choice Requires="x14">
        <control shapeId="334883" r:id="rId134" name="onHoldSchmid36">
          <controlPr autoLine="0" r:id="rId7">
            <anchor moveWithCells="1">
              <from>
                <xdr:col>5</xdr:col>
                <xdr:colOff>285750</xdr:colOff>
                <xdr:row>38</xdr:row>
                <xdr:rowOff>38100</xdr:rowOff>
              </from>
              <to>
                <xdr:col>5</xdr:col>
                <xdr:colOff>571500</xdr:colOff>
                <xdr:row>39</xdr:row>
                <xdr:rowOff>38100</xdr:rowOff>
              </to>
            </anchor>
          </controlPr>
        </control>
      </mc:Choice>
      <mc:Fallback>
        <control shapeId="334883" r:id="rId134" name="onHoldSchmid36"/>
      </mc:Fallback>
    </mc:AlternateContent>
    <mc:AlternateContent xmlns:mc="http://schemas.openxmlformats.org/markup-compatibility/2006">
      <mc:Choice Requires="x14">
        <control shapeId="334882" r:id="rId135" name="onHoldSchmid35">
          <controlPr autoLine="0" r:id="rId7">
            <anchor moveWithCells="1">
              <from>
                <xdr:col>5</xdr:col>
                <xdr:colOff>285750</xdr:colOff>
                <xdr:row>37</xdr:row>
                <xdr:rowOff>47625</xdr:rowOff>
              </from>
              <to>
                <xdr:col>5</xdr:col>
                <xdr:colOff>571500</xdr:colOff>
                <xdr:row>38</xdr:row>
                <xdr:rowOff>47625</xdr:rowOff>
              </to>
            </anchor>
          </controlPr>
        </control>
      </mc:Choice>
      <mc:Fallback>
        <control shapeId="334882" r:id="rId135" name="onHoldSchmid35"/>
      </mc:Fallback>
    </mc:AlternateContent>
    <mc:AlternateContent xmlns:mc="http://schemas.openxmlformats.org/markup-compatibility/2006">
      <mc:Choice Requires="x14">
        <control shapeId="334881" r:id="rId136" name="onHoldSchmid34">
          <controlPr autoLine="0" r:id="rId7">
            <anchor moveWithCells="1">
              <from>
                <xdr:col>5</xdr:col>
                <xdr:colOff>285750</xdr:colOff>
                <xdr:row>36</xdr:row>
                <xdr:rowOff>47625</xdr:rowOff>
              </from>
              <to>
                <xdr:col>5</xdr:col>
                <xdr:colOff>571500</xdr:colOff>
                <xdr:row>37</xdr:row>
                <xdr:rowOff>47625</xdr:rowOff>
              </to>
            </anchor>
          </controlPr>
        </control>
      </mc:Choice>
      <mc:Fallback>
        <control shapeId="334881" r:id="rId136" name="onHoldSchmid34"/>
      </mc:Fallback>
    </mc:AlternateContent>
    <mc:AlternateContent xmlns:mc="http://schemas.openxmlformats.org/markup-compatibility/2006">
      <mc:Choice Requires="x14">
        <control shapeId="334880" r:id="rId137" name="onHoldSchmid33">
          <controlPr autoLine="0" r:id="rId7">
            <anchor moveWithCells="1">
              <from>
                <xdr:col>5</xdr:col>
                <xdr:colOff>285750</xdr:colOff>
                <xdr:row>35</xdr:row>
                <xdr:rowOff>38100</xdr:rowOff>
              </from>
              <to>
                <xdr:col>5</xdr:col>
                <xdr:colOff>571500</xdr:colOff>
                <xdr:row>36</xdr:row>
                <xdr:rowOff>38100</xdr:rowOff>
              </to>
            </anchor>
          </controlPr>
        </control>
      </mc:Choice>
      <mc:Fallback>
        <control shapeId="334880" r:id="rId137" name="onHoldSchmid33"/>
      </mc:Fallback>
    </mc:AlternateContent>
    <mc:AlternateContent xmlns:mc="http://schemas.openxmlformats.org/markup-compatibility/2006">
      <mc:Choice Requires="x14">
        <control shapeId="334879" r:id="rId138" name="onHoldSchmid32">
          <controlPr autoLine="0" r:id="rId7">
            <anchor moveWithCells="1">
              <from>
                <xdr:col>5</xdr:col>
                <xdr:colOff>285750</xdr:colOff>
                <xdr:row>34</xdr:row>
                <xdr:rowOff>38100</xdr:rowOff>
              </from>
              <to>
                <xdr:col>5</xdr:col>
                <xdr:colOff>571500</xdr:colOff>
                <xdr:row>35</xdr:row>
                <xdr:rowOff>38100</xdr:rowOff>
              </to>
            </anchor>
          </controlPr>
        </control>
      </mc:Choice>
      <mc:Fallback>
        <control shapeId="334879" r:id="rId138" name="onHoldSchmid32"/>
      </mc:Fallback>
    </mc:AlternateContent>
    <mc:AlternateContent xmlns:mc="http://schemas.openxmlformats.org/markup-compatibility/2006">
      <mc:Choice Requires="x14">
        <control shapeId="334878" r:id="rId139" name="onHoldSchmid31">
          <controlPr autoLine="0" r:id="rId7">
            <anchor moveWithCells="1">
              <from>
                <xdr:col>5</xdr:col>
                <xdr:colOff>285750</xdr:colOff>
                <xdr:row>33</xdr:row>
                <xdr:rowOff>38100</xdr:rowOff>
              </from>
              <to>
                <xdr:col>5</xdr:col>
                <xdr:colOff>571500</xdr:colOff>
                <xdr:row>34</xdr:row>
                <xdr:rowOff>38100</xdr:rowOff>
              </to>
            </anchor>
          </controlPr>
        </control>
      </mc:Choice>
      <mc:Fallback>
        <control shapeId="334878" r:id="rId139" name="onHoldSchmid31"/>
      </mc:Fallback>
    </mc:AlternateContent>
    <mc:AlternateContent xmlns:mc="http://schemas.openxmlformats.org/markup-compatibility/2006">
      <mc:Choice Requires="x14">
        <control shapeId="334877" r:id="rId140" name="onHoldSchmid30">
          <controlPr autoLine="0" r:id="rId7">
            <anchor moveWithCells="1">
              <from>
                <xdr:col>5</xdr:col>
                <xdr:colOff>285750</xdr:colOff>
                <xdr:row>32</xdr:row>
                <xdr:rowOff>19050</xdr:rowOff>
              </from>
              <to>
                <xdr:col>5</xdr:col>
                <xdr:colOff>571500</xdr:colOff>
                <xdr:row>33</xdr:row>
                <xdr:rowOff>19050</xdr:rowOff>
              </to>
            </anchor>
          </controlPr>
        </control>
      </mc:Choice>
      <mc:Fallback>
        <control shapeId="334877" r:id="rId140" name="onHoldSchmid30"/>
      </mc:Fallback>
    </mc:AlternateContent>
    <mc:AlternateContent xmlns:mc="http://schemas.openxmlformats.org/markup-compatibility/2006">
      <mc:Choice Requires="x14">
        <control shapeId="334876" r:id="rId141" name="onHoldSchmid29">
          <controlPr autoLine="0" r:id="rId7">
            <anchor moveWithCells="1">
              <from>
                <xdr:col>5</xdr:col>
                <xdr:colOff>285750</xdr:colOff>
                <xdr:row>31</xdr:row>
                <xdr:rowOff>19050</xdr:rowOff>
              </from>
              <to>
                <xdr:col>5</xdr:col>
                <xdr:colOff>571500</xdr:colOff>
                <xdr:row>32</xdr:row>
                <xdr:rowOff>19050</xdr:rowOff>
              </to>
            </anchor>
          </controlPr>
        </control>
      </mc:Choice>
      <mc:Fallback>
        <control shapeId="334876" r:id="rId141" name="onHoldSchmid29"/>
      </mc:Fallback>
    </mc:AlternateContent>
    <mc:AlternateContent xmlns:mc="http://schemas.openxmlformats.org/markup-compatibility/2006">
      <mc:Choice Requires="x14">
        <control shapeId="334875" r:id="rId142" name="onHoldSchmid28">
          <controlPr autoLine="0" r:id="rId7">
            <anchor moveWithCells="1">
              <from>
                <xdr:col>5</xdr:col>
                <xdr:colOff>285750</xdr:colOff>
                <xdr:row>30</xdr:row>
                <xdr:rowOff>19050</xdr:rowOff>
              </from>
              <to>
                <xdr:col>5</xdr:col>
                <xdr:colOff>571500</xdr:colOff>
                <xdr:row>31</xdr:row>
                <xdr:rowOff>19050</xdr:rowOff>
              </to>
            </anchor>
          </controlPr>
        </control>
      </mc:Choice>
      <mc:Fallback>
        <control shapeId="334875" r:id="rId142" name="onHoldSchmid28"/>
      </mc:Fallback>
    </mc:AlternateContent>
    <mc:AlternateContent xmlns:mc="http://schemas.openxmlformats.org/markup-compatibility/2006">
      <mc:Choice Requires="x14">
        <control shapeId="334874" r:id="rId143" name="onHoldSchmid27">
          <controlPr autoLine="0" r:id="rId7">
            <anchor moveWithCells="1">
              <from>
                <xdr:col>5</xdr:col>
                <xdr:colOff>285750</xdr:colOff>
                <xdr:row>29</xdr:row>
                <xdr:rowOff>19050</xdr:rowOff>
              </from>
              <to>
                <xdr:col>5</xdr:col>
                <xdr:colOff>571500</xdr:colOff>
                <xdr:row>30</xdr:row>
                <xdr:rowOff>19050</xdr:rowOff>
              </to>
            </anchor>
          </controlPr>
        </control>
      </mc:Choice>
      <mc:Fallback>
        <control shapeId="334874" r:id="rId143" name="onHoldSchmid27"/>
      </mc:Fallback>
    </mc:AlternateContent>
    <mc:AlternateContent xmlns:mc="http://schemas.openxmlformats.org/markup-compatibility/2006">
      <mc:Choice Requires="x14">
        <control shapeId="334873" r:id="rId144" name="onHoldSchmid26">
          <controlPr autoLine="0" r:id="rId7">
            <anchor moveWithCells="1">
              <from>
                <xdr:col>5</xdr:col>
                <xdr:colOff>285750</xdr:colOff>
                <xdr:row>28</xdr:row>
                <xdr:rowOff>38100</xdr:rowOff>
              </from>
              <to>
                <xdr:col>5</xdr:col>
                <xdr:colOff>571500</xdr:colOff>
                <xdr:row>29</xdr:row>
                <xdr:rowOff>38100</xdr:rowOff>
              </to>
            </anchor>
          </controlPr>
        </control>
      </mc:Choice>
      <mc:Fallback>
        <control shapeId="334873" r:id="rId144" name="onHoldSchmid26"/>
      </mc:Fallback>
    </mc:AlternateContent>
    <mc:AlternateContent xmlns:mc="http://schemas.openxmlformats.org/markup-compatibility/2006">
      <mc:Choice Requires="x14">
        <control shapeId="334872" r:id="rId145" name="CheckBox24">
          <controlPr autoLine="0" r:id="rId7">
            <anchor moveWithCells="1">
              <from>
                <xdr:col>5</xdr:col>
                <xdr:colOff>285750</xdr:colOff>
                <xdr:row>27</xdr:row>
                <xdr:rowOff>57150</xdr:rowOff>
              </from>
              <to>
                <xdr:col>5</xdr:col>
                <xdr:colOff>571500</xdr:colOff>
                <xdr:row>28</xdr:row>
                <xdr:rowOff>57150</xdr:rowOff>
              </to>
            </anchor>
          </controlPr>
        </control>
      </mc:Choice>
      <mc:Fallback>
        <control shapeId="334872" r:id="rId145" name="CheckBox24"/>
      </mc:Fallback>
    </mc:AlternateContent>
    <mc:AlternateContent xmlns:mc="http://schemas.openxmlformats.org/markup-compatibility/2006">
      <mc:Choice Requires="x14">
        <control shapeId="334871" r:id="rId146" name="onHoldSchmid24">
          <controlPr autoLine="0" r:id="rId7">
            <anchor moveWithCells="1">
              <from>
                <xdr:col>5</xdr:col>
                <xdr:colOff>276225</xdr:colOff>
                <xdr:row>26</xdr:row>
                <xdr:rowOff>38100</xdr:rowOff>
              </from>
              <to>
                <xdr:col>5</xdr:col>
                <xdr:colOff>561975</xdr:colOff>
                <xdr:row>27</xdr:row>
                <xdr:rowOff>38100</xdr:rowOff>
              </to>
            </anchor>
          </controlPr>
        </control>
      </mc:Choice>
      <mc:Fallback>
        <control shapeId="334871" r:id="rId146" name="onHoldSchmid24"/>
      </mc:Fallback>
    </mc:AlternateContent>
    <mc:AlternateContent xmlns:mc="http://schemas.openxmlformats.org/markup-compatibility/2006">
      <mc:Choice Requires="x14">
        <control shapeId="334870" r:id="rId147" name="CheckBox22">
          <controlPr autoLine="0" r:id="rId7">
            <anchor moveWithCells="1">
              <from>
                <xdr:col>5</xdr:col>
                <xdr:colOff>276225</xdr:colOff>
                <xdr:row>25</xdr:row>
                <xdr:rowOff>47625</xdr:rowOff>
              </from>
              <to>
                <xdr:col>5</xdr:col>
                <xdr:colOff>561975</xdr:colOff>
                <xdr:row>26</xdr:row>
                <xdr:rowOff>47625</xdr:rowOff>
              </to>
            </anchor>
          </controlPr>
        </control>
      </mc:Choice>
      <mc:Fallback>
        <control shapeId="334870" r:id="rId147" name="CheckBox22"/>
      </mc:Fallback>
    </mc:AlternateContent>
    <mc:AlternateContent xmlns:mc="http://schemas.openxmlformats.org/markup-compatibility/2006">
      <mc:Choice Requires="x14">
        <control shapeId="334869" r:id="rId148" name="onHoldSchmid22">
          <controlPr autoLine="0" r:id="rId7">
            <anchor moveWithCells="1">
              <from>
                <xdr:col>5</xdr:col>
                <xdr:colOff>276225</xdr:colOff>
                <xdr:row>24</xdr:row>
                <xdr:rowOff>47625</xdr:rowOff>
              </from>
              <to>
                <xdr:col>5</xdr:col>
                <xdr:colOff>561975</xdr:colOff>
                <xdr:row>25</xdr:row>
                <xdr:rowOff>47625</xdr:rowOff>
              </to>
            </anchor>
          </controlPr>
        </control>
      </mc:Choice>
      <mc:Fallback>
        <control shapeId="334869" r:id="rId148" name="onHoldSchmid22"/>
      </mc:Fallback>
    </mc:AlternateContent>
    <mc:AlternateContent xmlns:mc="http://schemas.openxmlformats.org/markup-compatibility/2006">
      <mc:Choice Requires="x14">
        <control shapeId="334868" r:id="rId149" name="onHoldSchmid21">
          <controlPr autoLine="0" r:id="rId7">
            <anchor moveWithCells="1">
              <from>
                <xdr:col>5</xdr:col>
                <xdr:colOff>266700</xdr:colOff>
                <xdr:row>23</xdr:row>
                <xdr:rowOff>28575</xdr:rowOff>
              </from>
              <to>
                <xdr:col>5</xdr:col>
                <xdr:colOff>552450</xdr:colOff>
                <xdr:row>24</xdr:row>
                <xdr:rowOff>28575</xdr:rowOff>
              </to>
            </anchor>
          </controlPr>
        </control>
      </mc:Choice>
      <mc:Fallback>
        <control shapeId="334868" r:id="rId149" name="onHoldSchmid21"/>
      </mc:Fallback>
    </mc:AlternateContent>
    <mc:AlternateContent xmlns:mc="http://schemas.openxmlformats.org/markup-compatibility/2006">
      <mc:Choice Requires="x14">
        <control shapeId="334867" r:id="rId150" name="onHoldSchmid20">
          <controlPr autoLine="0" r:id="rId7">
            <anchor moveWithCells="1">
              <from>
                <xdr:col>5</xdr:col>
                <xdr:colOff>266700</xdr:colOff>
                <xdr:row>22</xdr:row>
                <xdr:rowOff>19050</xdr:rowOff>
              </from>
              <to>
                <xdr:col>5</xdr:col>
                <xdr:colOff>552450</xdr:colOff>
                <xdr:row>23</xdr:row>
                <xdr:rowOff>19050</xdr:rowOff>
              </to>
            </anchor>
          </controlPr>
        </control>
      </mc:Choice>
      <mc:Fallback>
        <control shapeId="334867" r:id="rId150" name="onHoldSchmid20"/>
      </mc:Fallback>
    </mc:AlternateContent>
    <mc:AlternateContent xmlns:mc="http://schemas.openxmlformats.org/markup-compatibility/2006">
      <mc:Choice Requires="x14">
        <control shapeId="334866" r:id="rId151" name="onHoldSchmid19">
          <controlPr autoLine="0" r:id="rId7">
            <anchor moveWithCells="1">
              <from>
                <xdr:col>5</xdr:col>
                <xdr:colOff>266700</xdr:colOff>
                <xdr:row>21</xdr:row>
                <xdr:rowOff>38100</xdr:rowOff>
              </from>
              <to>
                <xdr:col>5</xdr:col>
                <xdr:colOff>552450</xdr:colOff>
                <xdr:row>22</xdr:row>
                <xdr:rowOff>38100</xdr:rowOff>
              </to>
            </anchor>
          </controlPr>
        </control>
      </mc:Choice>
      <mc:Fallback>
        <control shapeId="334866" r:id="rId151" name="onHoldSchmid19"/>
      </mc:Fallback>
    </mc:AlternateContent>
    <mc:AlternateContent xmlns:mc="http://schemas.openxmlformats.org/markup-compatibility/2006">
      <mc:Choice Requires="x14">
        <control shapeId="334865" r:id="rId152" name="onHoldSchmid18">
          <controlPr autoLine="0" r:id="rId7">
            <anchor moveWithCells="1">
              <from>
                <xdr:col>5</xdr:col>
                <xdr:colOff>266700</xdr:colOff>
                <xdr:row>20</xdr:row>
                <xdr:rowOff>38100</xdr:rowOff>
              </from>
              <to>
                <xdr:col>5</xdr:col>
                <xdr:colOff>552450</xdr:colOff>
                <xdr:row>21</xdr:row>
                <xdr:rowOff>38100</xdr:rowOff>
              </to>
            </anchor>
          </controlPr>
        </control>
      </mc:Choice>
      <mc:Fallback>
        <control shapeId="334865" r:id="rId152" name="onHoldSchmid18"/>
      </mc:Fallback>
    </mc:AlternateContent>
    <mc:AlternateContent xmlns:mc="http://schemas.openxmlformats.org/markup-compatibility/2006">
      <mc:Choice Requires="x14">
        <control shapeId="334864" r:id="rId153" name="onHoldSchmid17">
          <controlPr autoLine="0" r:id="rId7">
            <anchor moveWithCells="1">
              <from>
                <xdr:col>5</xdr:col>
                <xdr:colOff>266700</xdr:colOff>
                <xdr:row>19</xdr:row>
                <xdr:rowOff>47625</xdr:rowOff>
              </from>
              <to>
                <xdr:col>5</xdr:col>
                <xdr:colOff>552450</xdr:colOff>
                <xdr:row>20</xdr:row>
                <xdr:rowOff>47625</xdr:rowOff>
              </to>
            </anchor>
          </controlPr>
        </control>
      </mc:Choice>
      <mc:Fallback>
        <control shapeId="334864" r:id="rId153" name="onHoldSchmid17"/>
      </mc:Fallback>
    </mc:AlternateContent>
    <mc:AlternateContent xmlns:mc="http://schemas.openxmlformats.org/markup-compatibility/2006">
      <mc:Choice Requires="x14">
        <control shapeId="334863" r:id="rId154" name="onHoldSchmid16">
          <controlPr autoLine="0" r:id="rId7">
            <anchor moveWithCells="1">
              <from>
                <xdr:col>5</xdr:col>
                <xdr:colOff>266700</xdr:colOff>
                <xdr:row>18</xdr:row>
                <xdr:rowOff>38100</xdr:rowOff>
              </from>
              <to>
                <xdr:col>5</xdr:col>
                <xdr:colOff>552450</xdr:colOff>
                <xdr:row>19</xdr:row>
                <xdr:rowOff>38100</xdr:rowOff>
              </to>
            </anchor>
          </controlPr>
        </control>
      </mc:Choice>
      <mc:Fallback>
        <control shapeId="334863" r:id="rId154" name="onHoldSchmid16"/>
      </mc:Fallback>
    </mc:AlternateContent>
    <mc:AlternateContent xmlns:mc="http://schemas.openxmlformats.org/markup-compatibility/2006">
      <mc:Choice Requires="x14">
        <control shapeId="334862" r:id="rId155" name="onHoldSchmid15">
          <controlPr autoLine="0" r:id="rId7">
            <anchor moveWithCells="1">
              <from>
                <xdr:col>5</xdr:col>
                <xdr:colOff>257175</xdr:colOff>
                <xdr:row>17</xdr:row>
                <xdr:rowOff>28575</xdr:rowOff>
              </from>
              <to>
                <xdr:col>5</xdr:col>
                <xdr:colOff>542925</xdr:colOff>
                <xdr:row>18</xdr:row>
                <xdr:rowOff>28575</xdr:rowOff>
              </to>
            </anchor>
          </controlPr>
        </control>
      </mc:Choice>
      <mc:Fallback>
        <control shapeId="334862" r:id="rId155" name="onHoldSchmid15"/>
      </mc:Fallback>
    </mc:AlternateContent>
    <mc:AlternateContent xmlns:mc="http://schemas.openxmlformats.org/markup-compatibility/2006">
      <mc:Choice Requires="x14">
        <control shapeId="334861" r:id="rId156" name="onHoldSchmid14">
          <controlPr autoLine="0" r:id="rId7">
            <anchor moveWithCells="1">
              <from>
                <xdr:col>5</xdr:col>
                <xdr:colOff>257175</xdr:colOff>
                <xdr:row>16</xdr:row>
                <xdr:rowOff>28575</xdr:rowOff>
              </from>
              <to>
                <xdr:col>5</xdr:col>
                <xdr:colOff>542925</xdr:colOff>
                <xdr:row>17</xdr:row>
                <xdr:rowOff>28575</xdr:rowOff>
              </to>
            </anchor>
          </controlPr>
        </control>
      </mc:Choice>
      <mc:Fallback>
        <control shapeId="334861" r:id="rId156" name="onHoldSchmid14"/>
      </mc:Fallback>
    </mc:AlternateContent>
    <mc:AlternateContent xmlns:mc="http://schemas.openxmlformats.org/markup-compatibility/2006">
      <mc:Choice Requires="x14">
        <control shapeId="334860" r:id="rId157" name="onHoldSchmid13">
          <controlPr autoLine="0" r:id="rId7">
            <anchor moveWithCells="1">
              <from>
                <xdr:col>5</xdr:col>
                <xdr:colOff>247650</xdr:colOff>
                <xdr:row>15</xdr:row>
                <xdr:rowOff>28575</xdr:rowOff>
              </from>
              <to>
                <xdr:col>5</xdr:col>
                <xdr:colOff>533400</xdr:colOff>
                <xdr:row>16</xdr:row>
                <xdr:rowOff>28575</xdr:rowOff>
              </to>
            </anchor>
          </controlPr>
        </control>
      </mc:Choice>
      <mc:Fallback>
        <control shapeId="334860" r:id="rId157" name="onHoldSchmid13"/>
      </mc:Fallback>
    </mc:AlternateContent>
    <mc:AlternateContent xmlns:mc="http://schemas.openxmlformats.org/markup-compatibility/2006">
      <mc:Choice Requires="x14">
        <control shapeId="334859" r:id="rId158" name="onHoldSchmid12">
          <controlPr autoLine="0" r:id="rId7">
            <anchor moveWithCells="1">
              <from>
                <xdr:col>5</xdr:col>
                <xdr:colOff>247650</xdr:colOff>
                <xdr:row>14</xdr:row>
                <xdr:rowOff>19050</xdr:rowOff>
              </from>
              <to>
                <xdr:col>5</xdr:col>
                <xdr:colOff>533400</xdr:colOff>
                <xdr:row>15</xdr:row>
                <xdr:rowOff>19050</xdr:rowOff>
              </to>
            </anchor>
          </controlPr>
        </control>
      </mc:Choice>
      <mc:Fallback>
        <control shapeId="334859" r:id="rId158" name="onHoldSchmid12"/>
      </mc:Fallback>
    </mc:AlternateContent>
    <mc:AlternateContent xmlns:mc="http://schemas.openxmlformats.org/markup-compatibility/2006">
      <mc:Choice Requires="x14">
        <control shapeId="334858" r:id="rId159" name="onHoldSchmid6">
          <controlPr autoLine="0" r:id="rId7">
            <anchor moveWithCells="1">
              <from>
                <xdr:col>5</xdr:col>
                <xdr:colOff>238125</xdr:colOff>
                <xdr:row>8</xdr:row>
                <xdr:rowOff>0</xdr:rowOff>
              </from>
              <to>
                <xdr:col>5</xdr:col>
                <xdr:colOff>523875</xdr:colOff>
                <xdr:row>9</xdr:row>
                <xdr:rowOff>0</xdr:rowOff>
              </to>
            </anchor>
          </controlPr>
        </control>
      </mc:Choice>
      <mc:Fallback>
        <control shapeId="334858" r:id="rId159" name="onHoldSchmid6"/>
      </mc:Fallback>
    </mc:AlternateContent>
    <mc:AlternateContent xmlns:mc="http://schemas.openxmlformats.org/markup-compatibility/2006">
      <mc:Choice Requires="x14">
        <control shapeId="334857" r:id="rId160" name="CheckBox9">
          <controlPr autoLine="0" r:id="rId7">
            <anchor moveWithCells="1">
              <from>
                <xdr:col>5</xdr:col>
                <xdr:colOff>238125</xdr:colOff>
                <xdr:row>11</xdr:row>
                <xdr:rowOff>38100</xdr:rowOff>
              </from>
              <to>
                <xdr:col>5</xdr:col>
                <xdr:colOff>523875</xdr:colOff>
                <xdr:row>12</xdr:row>
                <xdr:rowOff>38100</xdr:rowOff>
              </to>
            </anchor>
          </controlPr>
        </control>
      </mc:Choice>
      <mc:Fallback>
        <control shapeId="334857" r:id="rId160" name="CheckBox9"/>
      </mc:Fallback>
    </mc:AlternateContent>
    <mc:AlternateContent xmlns:mc="http://schemas.openxmlformats.org/markup-compatibility/2006">
      <mc:Choice Requires="x14">
        <control shapeId="334856" r:id="rId161" name="CheckBox8">
          <controlPr autoLine="0" r:id="rId7">
            <anchor moveWithCells="1">
              <from>
                <xdr:col>5</xdr:col>
                <xdr:colOff>238125</xdr:colOff>
                <xdr:row>13</xdr:row>
                <xdr:rowOff>0</xdr:rowOff>
              </from>
              <to>
                <xdr:col>5</xdr:col>
                <xdr:colOff>523875</xdr:colOff>
                <xdr:row>14</xdr:row>
                <xdr:rowOff>0</xdr:rowOff>
              </to>
            </anchor>
          </controlPr>
        </control>
      </mc:Choice>
      <mc:Fallback>
        <control shapeId="334856" r:id="rId161" name="CheckBox8"/>
      </mc:Fallback>
    </mc:AlternateContent>
    <mc:AlternateContent xmlns:mc="http://schemas.openxmlformats.org/markup-compatibility/2006">
      <mc:Choice Requires="x14">
        <control shapeId="334855" r:id="rId162" name="onHoldSchmid10">
          <controlPr autoLine="0" r:id="rId7">
            <anchor moveWithCells="1">
              <from>
                <xdr:col>5</xdr:col>
                <xdr:colOff>238125</xdr:colOff>
                <xdr:row>12</xdr:row>
                <xdr:rowOff>28575</xdr:rowOff>
              </from>
              <to>
                <xdr:col>5</xdr:col>
                <xdr:colOff>523875</xdr:colOff>
                <xdr:row>13</xdr:row>
                <xdr:rowOff>28575</xdr:rowOff>
              </to>
            </anchor>
          </controlPr>
        </control>
      </mc:Choice>
      <mc:Fallback>
        <control shapeId="334855" r:id="rId162" name="onHoldSchmid10"/>
      </mc:Fallback>
    </mc:AlternateContent>
    <mc:AlternateContent xmlns:mc="http://schemas.openxmlformats.org/markup-compatibility/2006">
      <mc:Choice Requires="x14">
        <control shapeId="334854" r:id="rId163" name="onHoldSchmid8">
          <controlPr autoLine="0" r:id="rId7">
            <anchor moveWithCells="1">
              <from>
                <xdr:col>5</xdr:col>
                <xdr:colOff>238125</xdr:colOff>
                <xdr:row>10</xdr:row>
                <xdr:rowOff>28575</xdr:rowOff>
              </from>
              <to>
                <xdr:col>5</xdr:col>
                <xdr:colOff>523875</xdr:colOff>
                <xdr:row>11</xdr:row>
                <xdr:rowOff>28575</xdr:rowOff>
              </to>
            </anchor>
          </controlPr>
        </control>
      </mc:Choice>
      <mc:Fallback>
        <control shapeId="334854" r:id="rId163" name="onHoldSchmid8"/>
      </mc:Fallback>
    </mc:AlternateContent>
    <mc:AlternateContent xmlns:mc="http://schemas.openxmlformats.org/markup-compatibility/2006">
      <mc:Choice Requires="x14">
        <control shapeId="334853" r:id="rId164" name="onHoldSchmid7">
          <controlPr autoLine="0" r:id="rId7">
            <anchor moveWithCells="1">
              <from>
                <xdr:col>5</xdr:col>
                <xdr:colOff>238125</xdr:colOff>
                <xdr:row>9</xdr:row>
                <xdr:rowOff>9525</xdr:rowOff>
              </from>
              <to>
                <xdr:col>5</xdr:col>
                <xdr:colOff>523875</xdr:colOff>
                <xdr:row>10</xdr:row>
                <xdr:rowOff>9525</xdr:rowOff>
              </to>
            </anchor>
          </controlPr>
        </control>
      </mc:Choice>
      <mc:Fallback>
        <control shapeId="334853" r:id="rId164" name="onHoldSchmid7"/>
      </mc:Fallback>
    </mc:AlternateContent>
    <mc:AlternateContent xmlns:mc="http://schemas.openxmlformats.org/markup-compatibility/2006">
      <mc:Choice Requires="x14">
        <control shapeId="334852" r:id="rId165" name="onHoldSchmid5">
          <controlPr autoLine="0" r:id="rId7">
            <anchor moveWithCells="1">
              <from>
                <xdr:col>5</xdr:col>
                <xdr:colOff>238125</xdr:colOff>
                <xdr:row>7</xdr:row>
                <xdr:rowOff>9525</xdr:rowOff>
              </from>
              <to>
                <xdr:col>5</xdr:col>
                <xdr:colOff>523875</xdr:colOff>
                <xdr:row>8</xdr:row>
                <xdr:rowOff>9525</xdr:rowOff>
              </to>
            </anchor>
          </controlPr>
        </control>
      </mc:Choice>
      <mc:Fallback>
        <control shapeId="334852" r:id="rId165" name="onHoldSchmid5"/>
      </mc:Fallback>
    </mc:AlternateContent>
    <mc:AlternateContent xmlns:mc="http://schemas.openxmlformats.org/markup-compatibility/2006">
      <mc:Choice Requires="x14">
        <control shapeId="334851" r:id="rId166" name="onHoldSchmid4">
          <controlPr autoLine="0" r:id="rId58">
            <anchor moveWithCells="1">
              <from>
                <xdr:col>5</xdr:col>
                <xdr:colOff>238125</xdr:colOff>
                <xdr:row>6</xdr:row>
                <xdr:rowOff>238125</xdr:rowOff>
              </from>
              <to>
                <xdr:col>5</xdr:col>
                <xdr:colOff>523875</xdr:colOff>
                <xdr:row>7</xdr:row>
                <xdr:rowOff>47625</xdr:rowOff>
              </to>
            </anchor>
          </controlPr>
        </control>
      </mc:Choice>
      <mc:Fallback>
        <control shapeId="334851" r:id="rId166" name="onHoldSchmid4"/>
      </mc:Fallback>
    </mc:AlternateContent>
    <mc:AlternateContent xmlns:mc="http://schemas.openxmlformats.org/markup-compatibility/2006">
      <mc:Choice Requires="x14">
        <control shapeId="334850" r:id="rId167" name="onHoldSchmid3">
          <controlPr autoLine="0" r:id="rId58">
            <anchor moveWithCells="1">
              <from>
                <xdr:col>5</xdr:col>
                <xdr:colOff>228600</xdr:colOff>
                <xdr:row>5</xdr:row>
                <xdr:rowOff>257175</xdr:rowOff>
              </from>
              <to>
                <xdr:col>5</xdr:col>
                <xdr:colOff>514350</xdr:colOff>
                <xdr:row>6</xdr:row>
                <xdr:rowOff>66675</xdr:rowOff>
              </to>
            </anchor>
          </controlPr>
        </control>
      </mc:Choice>
      <mc:Fallback>
        <control shapeId="334850" r:id="rId167" name="onHoldSchmid3"/>
      </mc:Fallback>
    </mc:AlternateContent>
    <mc:AlternateContent xmlns:mc="http://schemas.openxmlformats.org/markup-compatibility/2006">
      <mc:Choice Requires="x14">
        <control shapeId="334849" r:id="rId168" name="onHoldSchmid2">
          <controlPr autoLine="0" r:id="rId5">
            <anchor moveWithCells="1">
              <from>
                <xdr:col>5</xdr:col>
                <xdr:colOff>219075</xdr:colOff>
                <xdr:row>4</xdr:row>
                <xdr:rowOff>38100</xdr:rowOff>
              </from>
              <to>
                <xdr:col>5</xdr:col>
                <xdr:colOff>514350</xdr:colOff>
                <xdr:row>5</xdr:row>
                <xdr:rowOff>38100</xdr:rowOff>
              </to>
            </anchor>
          </controlPr>
        </control>
      </mc:Choice>
      <mc:Fallback>
        <control shapeId="334849" r:id="rId168" name="onHoldSchmid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0" tint="-0.34998626667073579"/>
    <pageSetUpPr fitToPage="1"/>
  </sheetPr>
  <dimension ref="A1:EQ438"/>
  <sheetViews>
    <sheetView showGridLines="0" tabSelected="1" topLeftCell="AH3" zoomScale="98" zoomScaleNormal="98" workbookViewId="0">
      <selection activeCell="AJ5" sqref="AJ5"/>
    </sheetView>
  </sheetViews>
  <sheetFormatPr baseColWidth="10" defaultColWidth="11.42578125" defaultRowHeight="15" x14ac:dyDescent="0.25"/>
  <cols>
    <col min="1" max="1" width="2.5703125" customWidth="1"/>
    <col min="2" max="2" width="45.5703125" customWidth="1"/>
    <col min="3" max="3" width="5" customWidth="1"/>
    <col min="4" max="4" width="3.140625" customWidth="1"/>
    <col min="5" max="5" width="4.5703125" customWidth="1"/>
    <col min="6" max="6" width="12.140625" customWidth="1"/>
    <col min="7" max="7" width="24.7109375" customWidth="1"/>
    <col min="8" max="8" width="4.5703125" customWidth="1"/>
    <col min="9" max="9" width="23.7109375" style="2" customWidth="1"/>
    <col min="10" max="12" width="23.7109375" style="2" hidden="1" customWidth="1"/>
    <col min="13" max="13" width="4.5703125" customWidth="1"/>
    <col min="14" max="14" width="22.140625" customWidth="1"/>
    <col min="15" max="17" width="22.140625" hidden="1" customWidth="1"/>
    <col min="18" max="18" width="4.5703125" customWidth="1"/>
    <col min="19" max="19" width="14.28515625" customWidth="1"/>
    <col min="20" max="20" width="4.85546875" customWidth="1"/>
    <col min="21" max="21" width="31.28515625" customWidth="1"/>
    <col min="22" max="22" width="3" customWidth="1"/>
    <col min="23" max="23" width="32" customWidth="1"/>
    <col min="24" max="24" width="4.5703125" customWidth="1"/>
    <col min="25" max="25" width="32" customWidth="1"/>
    <col min="26" max="26" width="4.5703125" customWidth="1"/>
    <col min="27" max="27" width="39.85546875" bestFit="1" customWidth="1"/>
    <col min="28" max="28" width="3.7109375" customWidth="1"/>
    <col min="29" max="29" width="16.5703125" bestFit="1" customWidth="1"/>
    <col min="30" max="30" width="2.7109375" customWidth="1"/>
    <col min="32" max="32" width="4.7109375" customWidth="1"/>
    <col min="33" max="33" width="24.28515625" customWidth="1"/>
    <col min="34" max="35" width="5" customWidth="1"/>
    <col min="36" max="36" width="40.85546875" style="78" customWidth="1"/>
    <col min="37" max="37" width="7.42578125" customWidth="1"/>
    <col min="42" max="42" width="62.85546875" customWidth="1"/>
  </cols>
  <sheetData>
    <row r="1" spans="1:147" ht="21.6" customHeight="1" thickBot="1" x14ac:dyDescent="0.3">
      <c r="A1" s="5"/>
      <c r="B1" s="312" t="s">
        <v>52</v>
      </c>
      <c r="C1" s="5"/>
      <c r="D1" s="21"/>
      <c r="E1" s="20"/>
      <c r="F1" s="351" t="s">
        <v>64</v>
      </c>
      <c r="G1" s="351"/>
      <c r="H1" s="20"/>
      <c r="I1" s="317" t="s">
        <v>2</v>
      </c>
      <c r="J1" s="68"/>
      <c r="K1" s="68"/>
      <c r="L1" s="68"/>
      <c r="M1" s="20"/>
      <c r="N1" s="317" t="s">
        <v>30</v>
      </c>
      <c r="O1" s="68"/>
      <c r="P1" s="68"/>
      <c r="Q1" s="69"/>
      <c r="R1" s="20"/>
      <c r="S1" s="316" t="s">
        <v>3</v>
      </c>
      <c r="T1" s="20"/>
      <c r="U1" s="316" t="s">
        <v>42</v>
      </c>
      <c r="V1" s="20"/>
      <c r="W1" s="316" t="s">
        <v>41</v>
      </c>
      <c r="X1" s="20"/>
      <c r="Y1" s="316" t="s">
        <v>48</v>
      </c>
      <c r="Z1" s="20"/>
      <c r="AA1" s="322" t="s">
        <v>14</v>
      </c>
      <c r="AB1" s="322"/>
      <c r="AC1" s="322"/>
      <c r="AD1" s="20"/>
      <c r="AE1" s="294"/>
      <c r="AF1" s="3"/>
      <c r="AG1" s="316" t="s">
        <v>59</v>
      </c>
      <c r="AI1" s="316"/>
      <c r="AJ1" s="351" t="s">
        <v>0</v>
      </c>
      <c r="AK1" s="352"/>
      <c r="AL1" s="352"/>
      <c r="AP1" s="325" t="s">
        <v>49</v>
      </c>
      <c r="AQ1" s="325" t="s">
        <v>32</v>
      </c>
      <c r="AR1" s="325" t="s">
        <v>33</v>
      </c>
      <c r="AS1" s="325" t="s">
        <v>34</v>
      </c>
      <c r="AT1" s="325" t="s">
        <v>27</v>
      </c>
      <c r="AU1" s="325" t="s">
        <v>35</v>
      </c>
      <c r="AV1" s="325" t="s">
        <v>28</v>
      </c>
      <c r="AW1" s="325" t="s">
        <v>36</v>
      </c>
      <c r="AX1" s="325" t="s">
        <v>37</v>
      </c>
      <c r="AY1" s="325" t="s">
        <v>38</v>
      </c>
      <c r="AZ1" s="325" t="s">
        <v>39</v>
      </c>
      <c r="BA1" s="325" t="s">
        <v>46</v>
      </c>
      <c r="BB1" s="325" t="s">
        <v>47</v>
      </c>
      <c r="BC1" s="325" t="s">
        <v>18</v>
      </c>
      <c r="BD1" s="325" t="s">
        <v>84</v>
      </c>
      <c r="BE1" s="299"/>
    </row>
    <row r="2" spans="1:147" ht="36" customHeight="1" thickTop="1" thickBot="1" x14ac:dyDescent="0.3">
      <c r="A2" s="5"/>
      <c r="B2" s="353" t="s">
        <v>204</v>
      </c>
      <c r="C2" s="5"/>
      <c r="D2" s="21"/>
      <c r="E2" s="20"/>
      <c r="F2" s="319" t="s">
        <v>19</v>
      </c>
      <c r="G2" s="319" t="s">
        <v>20</v>
      </c>
      <c r="H2" s="20"/>
      <c r="I2" s="321"/>
      <c r="J2" s="68"/>
      <c r="K2" s="68"/>
      <c r="L2" s="68"/>
      <c r="M2" s="20"/>
      <c r="N2" s="321"/>
      <c r="O2" s="68"/>
      <c r="P2" s="68"/>
      <c r="Q2" s="69"/>
      <c r="R2" s="20"/>
      <c r="S2" s="316"/>
      <c r="T2" s="20"/>
      <c r="U2" s="316"/>
      <c r="V2" s="20"/>
      <c r="W2" s="316"/>
      <c r="X2" s="20"/>
      <c r="Y2" s="294"/>
      <c r="Z2" s="20"/>
      <c r="AA2" s="322"/>
      <c r="AB2" s="322"/>
      <c r="AC2" s="322"/>
      <c r="AD2" s="20"/>
      <c r="AE2" s="294"/>
      <c r="AF2" s="3"/>
      <c r="AG2" s="323" t="s">
        <v>62</v>
      </c>
      <c r="AI2" s="319" t="s">
        <v>113</v>
      </c>
      <c r="AJ2" s="319" t="s">
        <v>110</v>
      </c>
      <c r="AK2" s="319" t="s">
        <v>111</v>
      </c>
      <c r="AL2" s="324" t="s">
        <v>112</v>
      </c>
      <c r="AP2" s="325" t="s">
        <v>31</v>
      </c>
      <c r="AQ2" s="67" t="str">
        <f>IF(AS2="","",IF(AQ1="",IF(MAX($A1:AQ$16)=0,1,ROUNDDOWN(MAX($A1:AQ$16)+1,0)),AQ1+0.01))</f>
        <v/>
      </c>
      <c r="AR2" s="73"/>
      <c r="AS2" s="8"/>
      <c r="AT2" s="8"/>
      <c r="AU2" s="8"/>
      <c r="AV2" s="8"/>
      <c r="AW2" s="9"/>
      <c r="AX2" s="10"/>
      <c r="AY2" s="11"/>
      <c r="AZ2" s="12" t="str">
        <f>IF(AX2="","",IF(AY2="M","",IF(AY2="","",WORKDAY(AX2,AY2-1,Feiertage))))</f>
        <v/>
      </c>
      <c r="BA2" s="13"/>
      <c r="BB2" s="14" t="str">
        <f t="shared" ref="BB2" ca="1" si="0">IF(AX2="","",IF(AY2="","",IF(BA2=1,999,IF(AY2="M",AX2-TODAY(),BD2-TODAY()))))</f>
        <v/>
      </c>
      <c r="BC2" s="6" t="str">
        <f>IF(AX2="","",IF(AY2="M","",ROUND(BA2*SUM(AZ2-AX2+1),0)))</f>
        <v/>
      </c>
      <c r="BD2" s="7" t="str">
        <f>IF(AX2="","",IF(AZ2="","",AX2+BC2-1))</f>
        <v/>
      </c>
      <c r="BE2" s="297"/>
    </row>
    <row r="3" spans="1:147" ht="3" customHeight="1" thickTop="1" x14ac:dyDescent="0.25">
      <c r="A3" s="5"/>
      <c r="B3" s="354"/>
      <c r="C3" s="5"/>
      <c r="D3" s="21"/>
      <c r="E3" s="20"/>
      <c r="F3" s="296"/>
      <c r="G3" s="296"/>
      <c r="H3" s="20"/>
      <c r="I3" s="314"/>
      <c r="J3" s="68"/>
      <c r="K3" s="68"/>
      <c r="L3" s="68"/>
      <c r="M3" s="20"/>
      <c r="N3" s="296"/>
      <c r="O3" s="68"/>
      <c r="P3" s="68"/>
      <c r="Q3" s="69"/>
      <c r="R3" s="20"/>
      <c r="S3" s="296"/>
      <c r="T3" s="20"/>
      <c r="U3" s="296"/>
      <c r="V3" s="20"/>
      <c r="W3" s="296"/>
      <c r="X3" s="20"/>
      <c r="Y3" s="296"/>
      <c r="Z3" s="20"/>
      <c r="AA3" s="296"/>
      <c r="AB3" s="296"/>
      <c r="AC3" s="296"/>
      <c r="AD3" s="20"/>
      <c r="AE3" s="296"/>
      <c r="AF3" s="3"/>
      <c r="AG3" s="296"/>
      <c r="AI3" s="297"/>
      <c r="AJ3" s="298"/>
      <c r="AK3" s="297"/>
      <c r="AL3" s="297"/>
      <c r="AP3" s="326"/>
      <c r="AQ3" s="70"/>
      <c r="AR3" s="70"/>
      <c r="AS3" s="70"/>
      <c r="AT3" s="70"/>
      <c r="AU3" s="70"/>
      <c r="AV3" s="70"/>
      <c r="AW3" s="70"/>
      <c r="AX3" s="70"/>
      <c r="AY3" s="70"/>
      <c r="AZ3" s="70"/>
      <c r="BA3" s="70"/>
      <c r="BB3" s="70"/>
      <c r="BC3" s="70"/>
      <c r="BD3" s="70"/>
      <c r="BE3" s="297"/>
    </row>
    <row r="4" spans="1:147" s="4" customFormat="1" ht="15.75" customHeight="1" x14ac:dyDescent="0.25">
      <c r="B4" s="316" t="s">
        <v>53</v>
      </c>
      <c r="D4" s="21"/>
      <c r="F4" s="22" t="s">
        <v>21</v>
      </c>
      <c r="G4" s="22" t="s">
        <v>24</v>
      </c>
      <c r="I4" s="45" t="s">
        <v>18</v>
      </c>
      <c r="J4" s="2"/>
      <c r="K4" s="2"/>
      <c r="L4" s="2"/>
      <c r="N4" s="100">
        <f>$B$16</f>
        <v>42550</v>
      </c>
      <c r="O4" s="2"/>
      <c r="P4" s="2"/>
      <c r="Q4" s="2"/>
      <c r="S4" s="27">
        <v>1</v>
      </c>
      <c r="U4" s="22" t="s">
        <v>43</v>
      </c>
      <c r="V4" s="3"/>
      <c r="W4" s="22" t="s">
        <v>43</v>
      </c>
      <c r="X4" s="31"/>
      <c r="Y4" s="22" t="s">
        <v>43</v>
      </c>
      <c r="AA4" s="32" t="s">
        <v>15</v>
      </c>
      <c r="AB4" s="33">
        <v>7</v>
      </c>
      <c r="AC4" s="34" t="s">
        <v>16</v>
      </c>
      <c r="AE4" s="41"/>
      <c r="AG4" s="43">
        <v>42005</v>
      </c>
      <c r="AI4" s="339">
        <v>1</v>
      </c>
      <c r="AJ4" s="340" t="s">
        <v>214</v>
      </c>
      <c r="AK4" s="239"/>
      <c r="AL4" s="345"/>
      <c r="AP4" s="326"/>
      <c r="AQ4" s="297"/>
      <c r="AR4" s="297"/>
      <c r="AS4" s="297"/>
      <c r="AT4" s="297"/>
      <c r="AU4" s="297"/>
      <c r="AV4" s="297"/>
      <c r="AW4" s="297"/>
      <c r="AX4" s="297"/>
      <c r="AY4" s="297"/>
      <c r="AZ4" s="297"/>
      <c r="BA4" s="297"/>
      <c r="BB4" s="297"/>
      <c r="BC4" s="297"/>
      <c r="BD4" s="297"/>
      <c r="BE4" s="300"/>
    </row>
    <row r="5" spans="1:147" x14ac:dyDescent="0.25">
      <c r="B5" s="17" t="s">
        <v>210</v>
      </c>
      <c r="D5" s="21"/>
      <c r="F5" s="24" t="s">
        <v>22</v>
      </c>
      <c r="G5" s="78" t="s">
        <v>25</v>
      </c>
      <c r="I5" s="46" t="s">
        <v>211</v>
      </c>
      <c r="J5" s="2" t="s">
        <v>165</v>
      </c>
      <c r="N5" s="101" t="e">
        <f>MAX(#REF!,#REF!)</f>
        <v>#REF!</v>
      </c>
      <c r="O5" s="2" t="s">
        <v>205</v>
      </c>
      <c r="P5" s="2"/>
      <c r="Q5" s="2"/>
      <c r="S5" s="338">
        <v>0</v>
      </c>
      <c r="T5" s="338"/>
      <c r="U5" s="80" t="s">
        <v>44</v>
      </c>
      <c r="V5" s="3"/>
      <c r="W5" s="80" t="s">
        <v>44</v>
      </c>
      <c r="X5" s="3"/>
      <c r="Y5" s="78" t="s">
        <v>44</v>
      </c>
      <c r="AA5" s="35" t="str">
        <f>CONCATENATE("Wenn Wert kleiner ",AB4," Tage und grösser/gleich")</f>
        <v>Wenn Wert kleiner 7 Tage und grösser/gleich</v>
      </c>
      <c r="AB5" s="36">
        <v>0</v>
      </c>
      <c r="AC5" s="36" t="s">
        <v>17</v>
      </c>
      <c r="AE5" s="42"/>
      <c r="AG5" s="44">
        <v>42010</v>
      </c>
      <c r="AI5" s="341">
        <v>2</v>
      </c>
      <c r="AJ5" s="342" t="s">
        <v>67</v>
      </c>
      <c r="AK5" s="240"/>
      <c r="AL5" s="346">
        <v>1</v>
      </c>
    </row>
    <row r="6" spans="1:147" ht="30.75" thickBot="1" x14ac:dyDescent="0.3">
      <c r="B6" s="316" t="s">
        <v>54</v>
      </c>
      <c r="D6" s="217"/>
      <c r="F6" s="24" t="s">
        <v>23</v>
      </c>
      <c r="G6" s="24" t="s">
        <v>26</v>
      </c>
      <c r="I6" s="46" t="s">
        <v>166</v>
      </c>
      <c r="N6" s="102" t="e">
        <f>MIN(#REF!,#REF!)</f>
        <v>#REF!</v>
      </c>
      <c r="O6" s="2"/>
      <c r="P6" s="2"/>
      <c r="Q6" s="2"/>
      <c r="S6" s="28">
        <v>0.1</v>
      </c>
      <c r="U6" s="23" t="s">
        <v>45</v>
      </c>
      <c r="V6" s="3"/>
      <c r="W6" s="23" t="s">
        <v>45</v>
      </c>
      <c r="X6" s="3"/>
      <c r="Y6" s="23" t="s">
        <v>45</v>
      </c>
      <c r="AA6" s="37" t="str">
        <f>CONCATENATE("Wenn Wert kleiner als ",AB5," dann Rot")</f>
        <v>Wenn Wert kleiner als 0 dann Rot</v>
      </c>
      <c r="AB6" s="1"/>
      <c r="AC6" s="36"/>
      <c r="AG6" s="44">
        <v>42097</v>
      </c>
      <c r="AI6" s="341">
        <v>3</v>
      </c>
      <c r="AJ6" s="343" t="s">
        <v>108</v>
      </c>
      <c r="AK6" s="240"/>
      <c r="AL6" s="346">
        <v>2</v>
      </c>
      <c r="AP6" s="325" t="s">
        <v>51</v>
      </c>
      <c r="AQ6" s="325" t="s">
        <v>32</v>
      </c>
      <c r="AR6" s="325" t="s">
        <v>33</v>
      </c>
      <c r="AS6" s="325" t="s">
        <v>34</v>
      </c>
      <c r="AT6" s="325" t="s">
        <v>27</v>
      </c>
      <c r="AU6" s="325" t="s">
        <v>35</v>
      </c>
      <c r="AV6" s="325" t="s">
        <v>28</v>
      </c>
      <c r="AW6" s="325" t="s">
        <v>36</v>
      </c>
      <c r="AX6" s="325" t="s">
        <v>37</v>
      </c>
      <c r="AY6" s="325" t="s">
        <v>38</v>
      </c>
      <c r="AZ6" s="325" t="s">
        <v>39</v>
      </c>
      <c r="BA6" s="325" t="s">
        <v>46</v>
      </c>
      <c r="BB6" s="325" t="s">
        <v>47</v>
      </c>
      <c r="BC6" s="325" t="s">
        <v>18</v>
      </c>
      <c r="BD6" s="325" t="s">
        <v>84</v>
      </c>
      <c r="BE6" s="299"/>
    </row>
    <row r="7" spans="1:147" ht="16.5" thickTop="1" thickBot="1" x14ac:dyDescent="0.3">
      <c r="B7" s="18" t="s">
        <v>221</v>
      </c>
      <c r="D7" s="217"/>
      <c r="F7" s="24" t="s">
        <v>4</v>
      </c>
      <c r="G7" s="24" t="s">
        <v>29</v>
      </c>
      <c r="I7" s="46" t="s">
        <v>167</v>
      </c>
      <c r="N7" s="103"/>
      <c r="O7" s="2"/>
      <c r="P7" s="2"/>
      <c r="Q7" s="2"/>
      <c r="S7" s="28">
        <v>0.2</v>
      </c>
      <c r="U7" s="23" t="s">
        <v>29</v>
      </c>
      <c r="V7" s="3"/>
      <c r="W7" s="23" t="s">
        <v>29</v>
      </c>
      <c r="X7" s="3"/>
      <c r="Y7" s="23" t="s">
        <v>29</v>
      </c>
      <c r="AA7" s="38"/>
      <c r="AB7" s="39"/>
      <c r="AC7" s="40"/>
      <c r="AG7" s="44">
        <v>42100</v>
      </c>
      <c r="AI7" s="341">
        <v>4</v>
      </c>
      <c r="AJ7" s="343" t="s">
        <v>215</v>
      </c>
      <c r="AK7" s="240"/>
      <c r="AL7" s="346">
        <v>3</v>
      </c>
      <c r="AP7" s="325" t="s">
        <v>31</v>
      </c>
      <c r="AQ7" s="67" t="str">
        <f>IF(AS7="","",IF(AQ6="",IF(MAX($A6:AQ$16)=0,1,ROUNDDOWN(MAX($A6:AQ$16)+1,0)),AQ6+0.01))</f>
        <v/>
      </c>
      <c r="AR7" s="73"/>
      <c r="AS7" s="8"/>
      <c r="AT7" s="8"/>
      <c r="AU7" s="8"/>
      <c r="AV7" s="8"/>
      <c r="AW7" s="9"/>
      <c r="AX7" s="10"/>
      <c r="AY7" s="11"/>
      <c r="AZ7" s="12" t="str">
        <f>IF(AX7="","",IF(AY7="M","",IF(AY7="","",WORKDAY(AX7,AY7-1,Feiertage))))</f>
        <v/>
      </c>
      <c r="BA7" s="13"/>
      <c r="BB7" s="14" t="str">
        <f t="shared" ref="BB7" ca="1" si="1">IF(AX7="","",IF(AY7="","",IF(BA7=1,999,IF(AY7="M",AX7-TODAY(),BD7-TODAY()))))</f>
        <v/>
      </c>
      <c r="BC7" s="6" t="str">
        <f>IF(AX7="","",IF(AY7="M","",ROUND(BA7*SUM(AZ7-AX7+1),0)))</f>
        <v/>
      </c>
      <c r="BD7" s="7" t="str">
        <f>IF(AX7="","",IF(AZ7="","",AX7+BC7-1))</f>
        <v/>
      </c>
      <c r="BE7" s="297"/>
    </row>
    <row r="8" spans="1:147" ht="15.75" thickTop="1" x14ac:dyDescent="0.25">
      <c r="D8" s="218"/>
      <c r="F8" s="24" t="s">
        <v>5</v>
      </c>
      <c r="G8" s="24" t="s">
        <v>29</v>
      </c>
      <c r="I8" s="46" t="s">
        <v>168</v>
      </c>
      <c r="N8" s="104">
        <f>N$4+1*7</f>
        <v>42557</v>
      </c>
      <c r="O8" s="2"/>
      <c r="P8" s="2"/>
      <c r="Q8" s="2"/>
      <c r="S8" s="28">
        <v>0.4</v>
      </c>
      <c r="U8" s="23"/>
      <c r="V8" s="3"/>
      <c r="W8" s="23"/>
      <c r="X8" s="3"/>
      <c r="Y8" s="23"/>
      <c r="AG8" s="44">
        <v>42125</v>
      </c>
      <c r="AI8" s="341">
        <v>5</v>
      </c>
      <c r="AJ8" s="344" t="s">
        <v>68</v>
      </c>
      <c r="AK8" s="240"/>
      <c r="AL8" s="346">
        <v>4</v>
      </c>
      <c r="AP8" s="326"/>
      <c r="AQ8" s="297"/>
      <c r="AR8" s="297"/>
      <c r="AS8" s="297"/>
      <c r="AT8" s="297"/>
      <c r="AU8" s="297"/>
      <c r="AV8" s="297"/>
      <c r="AW8" s="297"/>
      <c r="AX8" s="297"/>
      <c r="AY8" s="297"/>
      <c r="AZ8" s="297"/>
      <c r="BA8" s="297"/>
      <c r="BB8" s="297"/>
      <c r="BC8" s="297"/>
      <c r="BD8" s="297"/>
      <c r="BE8" s="297"/>
    </row>
    <row r="9" spans="1:147" x14ac:dyDescent="0.25">
      <c r="B9" s="316" t="s">
        <v>55</v>
      </c>
      <c r="D9" s="218"/>
      <c r="F9" s="24" t="s">
        <v>6</v>
      </c>
      <c r="G9" s="24"/>
      <c r="I9" s="46" t="s">
        <v>169</v>
      </c>
      <c r="N9" s="105">
        <f>N$4+2*7</f>
        <v>42564</v>
      </c>
      <c r="O9" s="2"/>
      <c r="P9" s="2"/>
      <c r="Q9" s="2"/>
      <c r="S9" s="28">
        <v>0.5</v>
      </c>
      <c r="U9" s="23"/>
      <c r="V9" s="3"/>
      <c r="W9" s="23"/>
      <c r="X9" s="3"/>
      <c r="Y9" s="23"/>
      <c r="AG9" s="44">
        <v>42138</v>
      </c>
      <c r="AI9" s="341">
        <v>6</v>
      </c>
      <c r="AJ9" s="344" t="s">
        <v>69</v>
      </c>
      <c r="AK9" s="240"/>
      <c r="AL9" s="346">
        <v>5</v>
      </c>
      <c r="AP9" s="326"/>
      <c r="AQ9" s="297"/>
      <c r="AR9" s="297"/>
      <c r="AS9" s="297"/>
      <c r="AT9" s="297"/>
      <c r="AU9" s="297"/>
      <c r="AV9" s="297"/>
      <c r="AW9" s="297"/>
      <c r="AX9" s="297"/>
      <c r="AY9" s="297"/>
      <c r="AZ9" s="297"/>
      <c r="BA9" s="297"/>
      <c r="BB9" s="297"/>
      <c r="BC9" s="297"/>
      <c r="BD9" s="297"/>
      <c r="BE9" s="300"/>
    </row>
    <row r="10" spans="1:147" ht="17.45" customHeight="1" x14ac:dyDescent="0.25">
      <c r="B10" s="17" t="s">
        <v>222</v>
      </c>
      <c r="D10" s="218"/>
      <c r="F10" s="24" t="s">
        <v>7</v>
      </c>
      <c r="G10" s="24"/>
      <c r="I10" s="46" t="s">
        <v>170</v>
      </c>
      <c r="N10" s="106">
        <f>N$4+3*7</f>
        <v>42571</v>
      </c>
      <c r="O10" s="2"/>
      <c r="P10" s="2"/>
      <c r="Q10" s="2"/>
      <c r="S10" s="28">
        <v>0.6</v>
      </c>
      <c r="U10" s="24"/>
      <c r="V10" s="3"/>
      <c r="W10" s="24"/>
      <c r="X10" s="3"/>
      <c r="Y10" s="24"/>
      <c r="AG10" s="44">
        <v>42149</v>
      </c>
      <c r="AI10" s="341">
        <v>7</v>
      </c>
      <c r="AJ10" s="344" t="s">
        <v>70</v>
      </c>
      <c r="AK10" s="240"/>
      <c r="AL10" s="346">
        <v>4</v>
      </c>
    </row>
    <row r="11" spans="1:147" ht="18.600000000000001" customHeight="1" thickBot="1" x14ac:dyDescent="0.3">
      <c r="D11" s="21"/>
      <c r="F11" s="24" t="s">
        <v>8</v>
      </c>
      <c r="G11" s="24"/>
      <c r="I11" s="46" t="s">
        <v>171</v>
      </c>
      <c r="N11" s="107">
        <f>N$4+4*7</f>
        <v>42578</v>
      </c>
      <c r="O11" s="2"/>
      <c r="P11" s="2"/>
      <c r="Q11" s="2"/>
      <c r="S11" s="28">
        <v>0.8</v>
      </c>
      <c r="U11" s="24"/>
      <c r="V11" s="3"/>
      <c r="W11" s="24"/>
      <c r="X11" s="3"/>
      <c r="Y11" s="24"/>
      <c r="AG11" s="44">
        <v>42159</v>
      </c>
      <c r="AI11" s="341">
        <v>8</v>
      </c>
      <c r="AJ11" s="342" t="s">
        <v>216</v>
      </c>
      <c r="AK11" s="240"/>
      <c r="AL11" s="346">
        <v>7</v>
      </c>
      <c r="AP11" s="325" t="s">
        <v>50</v>
      </c>
      <c r="AQ11" s="325" t="s">
        <v>32</v>
      </c>
      <c r="AR11" s="325" t="s">
        <v>33</v>
      </c>
      <c r="AS11" s="325" t="s">
        <v>34</v>
      </c>
      <c r="AT11" s="325" t="s">
        <v>27</v>
      </c>
      <c r="AU11" s="325" t="s">
        <v>35</v>
      </c>
      <c r="AV11" s="325" t="s">
        <v>28</v>
      </c>
      <c r="AW11" s="325" t="s">
        <v>36</v>
      </c>
      <c r="AX11" s="325" t="s">
        <v>37</v>
      </c>
      <c r="AY11" s="325" t="s">
        <v>38</v>
      </c>
      <c r="AZ11" s="325" t="s">
        <v>39</v>
      </c>
      <c r="BA11" s="325" t="s">
        <v>46</v>
      </c>
      <c r="BB11" s="325" t="s">
        <v>47</v>
      </c>
      <c r="BC11" s="325" t="s">
        <v>18</v>
      </c>
      <c r="BD11" s="325" t="s">
        <v>84</v>
      </c>
      <c r="BE11" s="299"/>
    </row>
    <row r="12" spans="1:147" ht="16.5" thickTop="1" thickBot="1" x14ac:dyDescent="0.3">
      <c r="B12" s="316" t="s">
        <v>56</v>
      </c>
      <c r="D12" s="21"/>
      <c r="F12" s="24" t="s">
        <v>9</v>
      </c>
      <c r="G12" s="24"/>
      <c r="I12" s="46" t="s">
        <v>172</v>
      </c>
      <c r="N12" s="108">
        <f>N$4+5*7</f>
        <v>42585</v>
      </c>
      <c r="O12" s="2"/>
      <c r="P12" s="2"/>
      <c r="Q12" s="2"/>
      <c r="S12" s="28">
        <v>1</v>
      </c>
      <c r="U12" s="24"/>
      <c r="V12" s="3"/>
      <c r="W12" s="24"/>
      <c r="X12" s="3"/>
      <c r="Y12" s="24"/>
      <c r="AG12" s="44">
        <v>42280</v>
      </c>
      <c r="AI12" s="341">
        <v>9</v>
      </c>
      <c r="AJ12" s="342" t="s">
        <v>72</v>
      </c>
      <c r="AK12" s="240"/>
      <c r="AL12" s="346">
        <v>8</v>
      </c>
      <c r="AP12" s="325" t="s">
        <v>31</v>
      </c>
      <c r="AQ12" s="67" t="str">
        <f>IF(AS12="","",IF(AQ11="",IF(MAX($A11:AQ$16)=0,1,ROUNDDOWN(MAX($A11:AQ$16)+1,0)),AQ11+0.01))</f>
        <v/>
      </c>
      <c r="AR12" s="73"/>
      <c r="AS12" s="8"/>
      <c r="AT12" s="8"/>
      <c r="AU12" s="8"/>
      <c r="AV12" s="8"/>
      <c r="AW12" s="9"/>
      <c r="AX12" s="10"/>
      <c r="AY12" s="11"/>
      <c r="AZ12" s="12" t="str">
        <f>IF(AX12="","",IF(AY12="M","",IF(AY12="","",WORKDAY(AX12,AY12-1,Feiertage))))</f>
        <v/>
      </c>
      <c r="BA12" s="13"/>
      <c r="BB12" s="14" t="str">
        <f t="shared" ref="BB12" ca="1" si="2">IF(AX12="","",IF(AY12="","",IF(BA12=1,999,IF(AY12="M",AX12-TODAY(),BD12-TODAY()))))</f>
        <v/>
      </c>
      <c r="BC12" s="6" t="str">
        <f>IF(AX12="","",IF(AY12="M","",ROUND(BA12*SUM(AZ12-AX12+1),0)))</f>
        <v/>
      </c>
      <c r="BD12" s="7" t="str">
        <f>IF(AX12="","",IF(AZ12="","",AX12+BC12-1))</f>
        <v/>
      </c>
      <c r="BE12" s="297"/>
    </row>
    <row r="13" spans="1:147" ht="18.600000000000001" customHeight="1" thickTop="1" x14ac:dyDescent="0.25">
      <c r="B13" s="17" t="s">
        <v>220</v>
      </c>
      <c r="D13" s="21"/>
      <c r="F13" s="24" t="s">
        <v>10</v>
      </c>
      <c r="G13" s="24"/>
      <c r="I13" s="46" t="s">
        <v>173</v>
      </c>
      <c r="N13" s="109">
        <f>N$4+6*7</f>
        <v>42592</v>
      </c>
      <c r="O13" s="2"/>
      <c r="P13" s="2"/>
      <c r="Q13" s="2"/>
      <c r="R13" s="86"/>
      <c r="S13" s="28"/>
      <c r="U13" s="24"/>
      <c r="V13" s="3"/>
      <c r="W13" s="24"/>
      <c r="X13" s="3"/>
      <c r="Y13" s="24"/>
      <c r="Z13" s="86"/>
      <c r="AG13" s="44">
        <v>42309</v>
      </c>
      <c r="AH13" s="86"/>
      <c r="AI13" s="341">
        <v>10</v>
      </c>
      <c r="AJ13" s="342" t="s">
        <v>71</v>
      </c>
      <c r="AK13" s="232"/>
      <c r="AL13" s="347">
        <v>7</v>
      </c>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87"/>
      <c r="EC13" s="87"/>
      <c r="ED13" s="87"/>
      <c r="EE13" s="87"/>
      <c r="EF13" s="87"/>
      <c r="EG13" s="87"/>
      <c r="EH13" s="87"/>
      <c r="EI13" s="87"/>
      <c r="EJ13" s="87"/>
      <c r="EK13" s="87"/>
      <c r="EL13" s="87"/>
      <c r="EM13" s="87"/>
      <c r="EN13" s="87"/>
      <c r="EO13" s="87"/>
      <c r="EP13" s="87"/>
      <c r="EQ13" s="87"/>
    </row>
    <row r="14" spans="1:147" x14ac:dyDescent="0.25">
      <c r="D14" s="21"/>
      <c r="F14" s="24"/>
      <c r="G14" s="24"/>
      <c r="I14" s="46" t="s">
        <v>174</v>
      </c>
      <c r="N14" s="110">
        <f>N$4+7*7</f>
        <v>42599</v>
      </c>
      <c r="O14" s="2"/>
      <c r="P14" s="2"/>
      <c r="Q14" s="2"/>
      <c r="R14" s="86"/>
      <c r="S14" s="28"/>
      <c r="U14" s="24"/>
      <c r="V14" s="3"/>
      <c r="W14" s="24"/>
      <c r="X14" s="3"/>
      <c r="Y14" s="24"/>
      <c r="Z14" s="86"/>
      <c r="AG14" s="44">
        <v>42363</v>
      </c>
      <c r="AH14" s="86"/>
      <c r="AI14" s="341">
        <v>11</v>
      </c>
      <c r="AJ14" s="342" t="s">
        <v>73</v>
      </c>
      <c r="AK14" s="232"/>
      <c r="AL14" s="347">
        <v>6</v>
      </c>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87"/>
      <c r="DZ14" s="87"/>
      <c r="EA14" s="87"/>
      <c r="EB14" s="87"/>
      <c r="EC14" s="87"/>
      <c r="ED14" s="87"/>
      <c r="EE14" s="87"/>
      <c r="EF14" s="87"/>
      <c r="EG14" s="87"/>
      <c r="EH14" s="87"/>
      <c r="EI14" s="87"/>
      <c r="EJ14" s="87"/>
      <c r="EK14" s="87"/>
      <c r="EL14" s="87"/>
      <c r="EM14" s="87"/>
      <c r="EN14" s="87"/>
      <c r="EO14" s="87"/>
      <c r="EP14" s="87"/>
      <c r="EQ14" s="87"/>
    </row>
    <row r="15" spans="1:147" x14ac:dyDescent="0.25">
      <c r="B15" s="319" t="s">
        <v>58</v>
      </c>
      <c r="D15" s="21"/>
      <c r="F15" s="24" t="s">
        <v>11</v>
      </c>
      <c r="G15" s="24"/>
      <c r="I15" s="46"/>
      <c r="N15" s="111">
        <f>N$4+8*7</f>
        <v>42606</v>
      </c>
      <c r="O15" s="2"/>
      <c r="P15" s="2"/>
      <c r="Q15" s="2"/>
      <c r="R15" s="86"/>
      <c r="S15" s="28"/>
      <c r="U15" s="315"/>
      <c r="V15" s="3"/>
      <c r="W15" s="24"/>
      <c r="X15" s="3"/>
      <c r="Y15" s="24"/>
      <c r="Z15" s="86"/>
      <c r="AG15" s="44">
        <v>42364</v>
      </c>
      <c r="AH15" s="86"/>
      <c r="AI15" s="341">
        <v>12</v>
      </c>
      <c r="AJ15" s="342" t="s">
        <v>74</v>
      </c>
      <c r="AK15" s="232"/>
      <c r="AL15" s="347">
        <v>5</v>
      </c>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87"/>
      <c r="DZ15" s="87"/>
      <c r="EA15" s="87"/>
      <c r="EB15" s="87"/>
      <c r="EC15" s="87"/>
      <c r="ED15" s="87"/>
      <c r="EE15" s="87"/>
      <c r="EF15" s="87"/>
      <c r="EG15" s="87"/>
      <c r="EH15" s="87"/>
      <c r="EI15" s="87"/>
      <c r="EJ15" s="87"/>
      <c r="EK15" s="87"/>
      <c r="EL15" s="87"/>
      <c r="EM15" s="87"/>
      <c r="EN15" s="87"/>
      <c r="EO15" s="87"/>
      <c r="EP15" s="87"/>
      <c r="EQ15" s="87"/>
    </row>
    <row r="16" spans="1:147" ht="15.75" thickBot="1" x14ac:dyDescent="0.3">
      <c r="B16" s="19">
        <v>42550</v>
      </c>
      <c r="D16" s="21"/>
      <c r="F16" s="24" t="s">
        <v>12</v>
      </c>
      <c r="G16" s="24"/>
      <c r="I16" s="46" t="s">
        <v>175</v>
      </c>
      <c r="N16" s="112">
        <f>N$4+9*7</f>
        <v>42613</v>
      </c>
      <c r="O16" s="2"/>
      <c r="P16" s="2"/>
      <c r="Q16" s="2"/>
      <c r="R16" s="86"/>
      <c r="S16" s="28"/>
      <c r="U16" s="24"/>
      <c r="V16" s="3"/>
      <c r="W16" s="24"/>
      <c r="X16" s="3"/>
      <c r="Y16" s="24"/>
      <c r="Z16" s="86"/>
      <c r="AG16" s="43">
        <v>42370</v>
      </c>
      <c r="AH16" s="86"/>
      <c r="AI16" s="341">
        <v>13</v>
      </c>
      <c r="AJ16" s="342" t="s">
        <v>82</v>
      </c>
      <c r="AK16" s="232"/>
      <c r="AL16" s="347">
        <v>11</v>
      </c>
      <c r="AM16" s="87"/>
      <c r="AN16" s="87"/>
      <c r="AO16" s="87"/>
      <c r="AP16" s="88"/>
      <c r="AQ16" s="88"/>
      <c r="AR16" s="88"/>
      <c r="AS16" s="88"/>
      <c r="AT16" s="88"/>
      <c r="AU16" s="88"/>
      <c r="AV16" s="88"/>
      <c r="AW16" s="88"/>
      <c r="AX16" s="88"/>
      <c r="AY16" s="88"/>
      <c r="AZ16" s="88"/>
      <c r="BA16" s="88"/>
      <c r="BB16" s="88"/>
      <c r="BC16" s="88"/>
      <c r="BD16" s="88"/>
      <c r="BE16" s="88"/>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87"/>
      <c r="DZ16" s="87"/>
      <c r="EA16" s="87"/>
      <c r="EB16" s="87"/>
      <c r="EC16" s="87"/>
      <c r="ED16" s="87"/>
      <c r="EE16" s="87"/>
      <c r="EF16" s="87"/>
      <c r="EG16" s="87"/>
      <c r="EH16" s="87"/>
      <c r="EI16" s="87"/>
      <c r="EJ16" s="87"/>
      <c r="EK16" s="87"/>
      <c r="EL16" s="87"/>
      <c r="EM16" s="87"/>
      <c r="EN16" s="87"/>
      <c r="EO16" s="87"/>
      <c r="EP16" s="87"/>
      <c r="EQ16" s="87"/>
    </row>
    <row r="17" spans="2:147" ht="16.5" thickTop="1" thickBot="1" x14ac:dyDescent="0.3">
      <c r="D17" s="21"/>
      <c r="F17" s="24"/>
      <c r="G17" s="24"/>
      <c r="I17" s="46" t="s">
        <v>176</v>
      </c>
      <c r="N17" s="113">
        <f>N$4+10*7</f>
        <v>42620</v>
      </c>
      <c r="O17" s="2"/>
      <c r="P17" s="2"/>
      <c r="Q17" s="2"/>
      <c r="S17" s="28"/>
      <c r="U17" s="24"/>
      <c r="V17" s="3"/>
      <c r="W17" s="24"/>
      <c r="X17" s="3"/>
      <c r="Y17" s="24"/>
      <c r="AG17" s="44">
        <v>42375</v>
      </c>
      <c r="AI17" s="341">
        <v>14</v>
      </c>
      <c r="AJ17" s="342" t="s">
        <v>75</v>
      </c>
      <c r="AK17" s="232"/>
      <c r="AL17" s="347">
        <v>13</v>
      </c>
      <c r="AM17" s="87"/>
      <c r="AN17" s="87"/>
      <c r="AO17" s="87"/>
      <c r="AP17" s="88"/>
      <c r="AQ17" s="89"/>
      <c r="AR17" s="90"/>
      <c r="AS17" s="91"/>
      <c r="AT17" s="91"/>
      <c r="AU17" s="91"/>
      <c r="AV17" s="91"/>
      <c r="AW17" s="92"/>
      <c r="AX17" s="93"/>
      <c r="AY17" s="94"/>
      <c r="AZ17" s="95" t="str">
        <f>IF(AX17="","",IF(AY17="M","",IF(AY17="","",WORKDAY(AX17,AY17-1,Feiertage))))</f>
        <v/>
      </c>
      <c r="BA17" s="96"/>
      <c r="BB17" s="97"/>
      <c r="BC17" s="98"/>
      <c r="BD17" s="99"/>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87"/>
      <c r="DZ17" s="87"/>
      <c r="EA17" s="87"/>
      <c r="EB17" s="87"/>
      <c r="EC17" s="87"/>
      <c r="ED17" s="87"/>
      <c r="EE17" s="87"/>
      <c r="EF17" s="87"/>
      <c r="EG17" s="87"/>
      <c r="EH17" s="87"/>
      <c r="EI17" s="87"/>
      <c r="EJ17" s="87"/>
      <c r="EK17" s="87"/>
      <c r="EL17" s="87"/>
      <c r="EM17" s="87"/>
      <c r="EN17" s="87"/>
      <c r="EO17" s="87"/>
      <c r="EP17" s="87"/>
      <c r="EQ17" s="87"/>
    </row>
    <row r="18" spans="2:147" ht="15.75" customHeight="1" thickTop="1" x14ac:dyDescent="0.25">
      <c r="B18" s="318" t="s">
        <v>96</v>
      </c>
      <c r="D18" s="21"/>
      <c r="F18" s="24"/>
      <c r="G18" s="24"/>
      <c r="I18" s="46" t="s">
        <v>177</v>
      </c>
      <c r="N18" s="114">
        <f>N$4+11*7</f>
        <v>42627</v>
      </c>
      <c r="O18" s="2"/>
      <c r="P18" s="2"/>
      <c r="Q18" s="2"/>
      <c r="S18" s="28"/>
      <c r="U18" s="24"/>
      <c r="V18" s="3"/>
      <c r="W18" s="24"/>
      <c r="X18" s="3"/>
      <c r="Y18" s="24"/>
      <c r="AG18" s="44">
        <v>42454</v>
      </c>
      <c r="AI18" s="341">
        <v>15</v>
      </c>
      <c r="AJ18" s="342" t="s">
        <v>217</v>
      </c>
      <c r="AK18" s="232"/>
      <c r="AL18" s="347">
        <v>14</v>
      </c>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c r="CX18" s="87"/>
      <c r="CY18" s="87"/>
      <c r="CZ18" s="87"/>
      <c r="DA18" s="87"/>
      <c r="DB18" s="87"/>
      <c r="DC18" s="87"/>
      <c r="DD18" s="87"/>
      <c r="DE18" s="87"/>
      <c r="DF18" s="87"/>
      <c r="DG18" s="87"/>
      <c r="DH18" s="87"/>
      <c r="DI18" s="87"/>
      <c r="DJ18" s="87"/>
      <c r="DK18" s="87"/>
      <c r="DL18" s="87"/>
      <c r="DM18" s="87"/>
      <c r="DN18" s="87"/>
      <c r="DO18" s="87"/>
      <c r="DP18" s="87"/>
      <c r="DQ18" s="87"/>
      <c r="DR18" s="87"/>
      <c r="DS18" s="87"/>
      <c r="DT18" s="87"/>
      <c r="DU18" s="87"/>
      <c r="DV18" s="87"/>
      <c r="DW18" s="87"/>
      <c r="DX18" s="87"/>
      <c r="DY18" s="87"/>
      <c r="DZ18" s="87"/>
      <c r="EA18" s="87"/>
      <c r="EB18" s="87"/>
      <c r="EC18" s="87"/>
      <c r="ED18" s="87"/>
      <c r="EE18" s="87"/>
      <c r="EF18" s="87"/>
      <c r="EG18" s="87"/>
      <c r="EH18" s="87"/>
      <c r="EI18" s="87"/>
      <c r="EJ18" s="87"/>
      <c r="EK18" s="87"/>
      <c r="EL18" s="87"/>
      <c r="EM18" s="87"/>
      <c r="EN18" s="87"/>
      <c r="EO18" s="87"/>
      <c r="EP18" s="87"/>
      <c r="EQ18" s="87"/>
    </row>
    <row r="19" spans="2:147" ht="16.5" customHeight="1" x14ac:dyDescent="0.25">
      <c r="B19" s="213">
        <v>42576</v>
      </c>
      <c r="D19" s="21"/>
      <c r="F19" s="24"/>
      <c r="G19" s="24"/>
      <c r="I19" s="46" t="s">
        <v>178</v>
      </c>
      <c r="N19" s="115">
        <f>N$4+12*7</f>
        <v>42634</v>
      </c>
      <c r="O19" s="2"/>
      <c r="P19" s="2"/>
      <c r="Q19" s="2"/>
      <c r="S19" s="28"/>
      <c r="U19" s="24"/>
      <c r="V19" s="3"/>
      <c r="W19" s="24"/>
      <c r="X19" s="3"/>
      <c r="Y19" s="24"/>
      <c r="AG19" s="44">
        <v>42457</v>
      </c>
      <c r="AI19" s="341">
        <v>16</v>
      </c>
      <c r="AJ19" s="342" t="s">
        <v>77</v>
      </c>
      <c r="AK19" s="232"/>
      <c r="AL19" s="347">
        <v>15</v>
      </c>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87"/>
      <c r="DK19" s="87"/>
      <c r="DL19" s="87"/>
      <c r="DM19" s="87"/>
      <c r="DN19" s="87"/>
      <c r="DO19" s="87"/>
      <c r="DP19" s="87"/>
      <c r="DQ19" s="87"/>
      <c r="DR19" s="87"/>
      <c r="DS19" s="87"/>
      <c r="DT19" s="87"/>
      <c r="DU19" s="87"/>
      <c r="DV19" s="87"/>
      <c r="DW19" s="87"/>
      <c r="DX19" s="87"/>
      <c r="DY19" s="87"/>
      <c r="DZ19" s="87"/>
      <c r="EA19" s="87"/>
      <c r="EB19" s="87"/>
      <c r="EC19" s="87"/>
      <c r="ED19" s="87"/>
      <c r="EE19" s="87"/>
      <c r="EF19" s="87"/>
      <c r="EG19" s="87"/>
      <c r="EH19" s="87"/>
      <c r="EI19" s="87"/>
      <c r="EJ19" s="87"/>
      <c r="EK19" s="87"/>
      <c r="EL19" s="87"/>
      <c r="EM19" s="87"/>
      <c r="EN19" s="87"/>
      <c r="EO19" s="87"/>
      <c r="EP19" s="87"/>
      <c r="EQ19" s="87"/>
    </row>
    <row r="20" spans="2:147" x14ac:dyDescent="0.25">
      <c r="B20" s="318" t="s">
        <v>60</v>
      </c>
      <c r="D20" s="21"/>
      <c r="F20" s="24"/>
      <c r="G20" s="24"/>
      <c r="I20" s="46" t="s">
        <v>179</v>
      </c>
      <c r="N20" s="116">
        <f>N$4+13*7</f>
        <v>42641</v>
      </c>
      <c r="O20" s="2"/>
      <c r="P20" s="2"/>
      <c r="Q20" s="2"/>
      <c r="S20" s="28"/>
      <c r="U20" s="24"/>
      <c r="V20" s="3"/>
      <c r="W20" s="24"/>
      <c r="X20" s="3"/>
      <c r="Y20" s="24"/>
      <c r="AG20" s="44">
        <v>42491</v>
      </c>
      <c r="AI20" s="341">
        <v>17</v>
      </c>
      <c r="AJ20" s="342" t="s">
        <v>83</v>
      </c>
      <c r="AK20" s="232"/>
      <c r="AL20" s="347">
        <v>16</v>
      </c>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c r="CX20" s="87"/>
      <c r="CY20" s="87"/>
      <c r="CZ20" s="87"/>
      <c r="DA20" s="87"/>
      <c r="DB20" s="87"/>
      <c r="DC20" s="87"/>
      <c r="DD20" s="87"/>
      <c r="DE20" s="87"/>
      <c r="DF20" s="87"/>
      <c r="DG20" s="87"/>
      <c r="DH20" s="87"/>
      <c r="DI20" s="87"/>
      <c r="DJ20" s="87"/>
      <c r="DK20" s="87"/>
      <c r="DL20" s="87"/>
      <c r="DM20" s="87"/>
      <c r="DN20" s="87"/>
      <c r="DO20" s="87"/>
      <c r="DP20" s="87"/>
      <c r="DQ20" s="87"/>
      <c r="DR20" s="87"/>
      <c r="DS20" s="87"/>
      <c r="DT20" s="87"/>
      <c r="DU20" s="87"/>
      <c r="DV20" s="87"/>
      <c r="DW20" s="87"/>
      <c r="DX20" s="87"/>
      <c r="DY20" s="87"/>
      <c r="DZ20" s="87"/>
      <c r="EA20" s="87"/>
      <c r="EB20" s="87"/>
      <c r="EC20" s="87"/>
      <c r="ED20" s="87"/>
      <c r="EE20" s="87"/>
      <c r="EF20" s="87"/>
      <c r="EG20" s="87"/>
      <c r="EH20" s="87"/>
      <c r="EI20" s="87"/>
      <c r="EJ20" s="87"/>
      <c r="EK20" s="87"/>
      <c r="EL20" s="87"/>
      <c r="EM20" s="87"/>
      <c r="EN20" s="87"/>
      <c r="EO20" s="87"/>
      <c r="EP20" s="87"/>
      <c r="EQ20" s="87"/>
    </row>
    <row r="21" spans="2:147" ht="17.25" customHeight="1" x14ac:dyDescent="0.25">
      <c r="B21" s="295" t="s">
        <v>63</v>
      </c>
      <c r="D21" s="218"/>
      <c r="F21" s="24"/>
      <c r="G21" s="24"/>
      <c r="I21" s="46" t="s">
        <v>180</v>
      </c>
      <c r="N21" s="117">
        <f>N$4+14*7</f>
        <v>42648</v>
      </c>
      <c r="O21" s="2"/>
      <c r="P21" s="2"/>
      <c r="Q21" s="2"/>
      <c r="S21" s="28"/>
      <c r="U21" s="24"/>
      <c r="V21" s="3"/>
      <c r="W21" s="24"/>
      <c r="X21" s="3"/>
      <c r="Y21" s="24"/>
      <c r="AG21" s="44">
        <v>42495</v>
      </c>
      <c r="AI21" s="230">
        <v>18</v>
      </c>
      <c r="AJ21" s="231" t="s">
        <v>78</v>
      </c>
      <c r="AK21" s="232"/>
      <c r="AL21" s="347">
        <v>17</v>
      </c>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87"/>
      <c r="DK21" s="87"/>
      <c r="DL21" s="87"/>
      <c r="DM21" s="87"/>
      <c r="DN21" s="87"/>
      <c r="DO21" s="87"/>
      <c r="DP21" s="87"/>
      <c r="DQ21" s="87"/>
      <c r="DR21" s="87"/>
      <c r="DS21" s="87"/>
      <c r="DT21" s="87"/>
      <c r="DU21" s="87"/>
      <c r="DV21" s="87"/>
      <c r="DW21" s="87"/>
      <c r="DX21" s="87"/>
      <c r="DY21" s="87"/>
      <c r="DZ21" s="87"/>
      <c r="EA21" s="87"/>
      <c r="EB21" s="87"/>
      <c r="EC21" s="87"/>
      <c r="ED21" s="87"/>
      <c r="EE21" s="87"/>
      <c r="EF21" s="87"/>
      <c r="EG21" s="87"/>
      <c r="EH21" s="87"/>
      <c r="EI21" s="87"/>
      <c r="EJ21" s="87"/>
      <c r="EK21" s="87"/>
      <c r="EL21" s="87"/>
      <c r="EM21" s="87"/>
      <c r="EN21" s="87"/>
      <c r="EO21" s="87"/>
      <c r="EP21" s="87"/>
      <c r="EQ21" s="87"/>
    </row>
    <row r="22" spans="2:147" x14ac:dyDescent="0.25">
      <c r="D22" s="218"/>
      <c r="F22" s="24"/>
      <c r="G22" s="24"/>
      <c r="I22" s="46" t="s">
        <v>181</v>
      </c>
      <c r="N22" s="118">
        <f>N$4+15*7</f>
        <v>42655</v>
      </c>
      <c r="O22" s="2"/>
      <c r="P22" s="2"/>
      <c r="Q22" s="2"/>
      <c r="S22" s="28"/>
      <c r="U22" s="24"/>
      <c r="V22" s="3"/>
      <c r="W22" s="24"/>
      <c r="X22" s="3"/>
      <c r="Y22" s="24"/>
      <c r="AG22" s="44">
        <v>42506</v>
      </c>
      <c r="AI22" s="230"/>
      <c r="AJ22" s="234"/>
      <c r="AK22" s="232"/>
      <c r="AL22" s="233"/>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c r="CX22" s="87"/>
      <c r="CY22" s="87"/>
      <c r="CZ22" s="87"/>
      <c r="DA22" s="87"/>
      <c r="DB22" s="87"/>
      <c r="DC22" s="87"/>
      <c r="DD22" s="87"/>
      <c r="DE22" s="87"/>
      <c r="DF22" s="87"/>
      <c r="DG22" s="87"/>
      <c r="DH22" s="87"/>
      <c r="DI22" s="87"/>
      <c r="DJ22" s="87"/>
      <c r="DK22" s="87"/>
      <c r="DL22" s="87"/>
      <c r="DM22" s="87"/>
      <c r="DN22" s="87"/>
      <c r="DO22" s="87"/>
      <c r="DP22" s="87"/>
      <c r="DQ22" s="87"/>
      <c r="DR22" s="87"/>
      <c r="DS22" s="87"/>
      <c r="DT22" s="87"/>
      <c r="DU22" s="87"/>
      <c r="DV22" s="87"/>
      <c r="DW22" s="87"/>
      <c r="DX22" s="87"/>
      <c r="DY22" s="87"/>
      <c r="DZ22" s="87"/>
      <c r="EA22" s="87"/>
      <c r="EB22" s="87"/>
      <c r="EC22" s="87"/>
      <c r="ED22" s="87"/>
      <c r="EE22" s="87"/>
      <c r="EF22" s="87"/>
      <c r="EG22" s="87"/>
      <c r="EH22" s="87"/>
      <c r="EI22" s="87"/>
      <c r="EJ22" s="87"/>
      <c r="EK22" s="87"/>
      <c r="EL22" s="87"/>
      <c r="EM22" s="87"/>
      <c r="EN22" s="87"/>
      <c r="EO22" s="87"/>
      <c r="EP22" s="87"/>
      <c r="EQ22" s="87"/>
    </row>
    <row r="23" spans="2:147" x14ac:dyDescent="0.25">
      <c r="C23">
        <v>0</v>
      </c>
      <c r="D23" s="21"/>
      <c r="F23" s="24"/>
      <c r="G23" s="24"/>
      <c r="I23" s="46" t="s">
        <v>182</v>
      </c>
      <c r="N23" s="119">
        <f>N$4+16*7</f>
        <v>42662</v>
      </c>
      <c r="O23" s="2"/>
      <c r="P23" s="2"/>
      <c r="Q23" s="2"/>
      <c r="S23" s="28"/>
      <c r="U23" s="24"/>
      <c r="V23" s="3"/>
      <c r="W23" s="24"/>
      <c r="X23" s="3"/>
      <c r="Y23" s="24"/>
      <c r="AG23" s="44">
        <v>42516</v>
      </c>
      <c r="AI23" s="230"/>
      <c r="AJ23" s="231"/>
      <c r="AK23" s="232"/>
      <c r="AL23" s="233"/>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c r="CX23" s="87"/>
      <c r="CY23" s="87"/>
      <c r="CZ23" s="87"/>
      <c r="DA23" s="87"/>
      <c r="DB23" s="87"/>
      <c r="DC23" s="87"/>
      <c r="DD23" s="87"/>
      <c r="DE23" s="87"/>
      <c r="DF23" s="87"/>
      <c r="DG23" s="87"/>
      <c r="DH23" s="87"/>
      <c r="DI23" s="87"/>
      <c r="DJ23" s="87"/>
      <c r="DK23" s="87"/>
      <c r="DL23" s="87"/>
      <c r="DM23" s="87"/>
      <c r="DN23" s="87"/>
      <c r="DO23" s="87"/>
      <c r="DP23" s="87"/>
      <c r="DQ23" s="87"/>
      <c r="DR23" s="87"/>
      <c r="DS23" s="87"/>
      <c r="DT23" s="87"/>
      <c r="DU23" s="87"/>
      <c r="DV23" s="87"/>
      <c r="DW23" s="87"/>
      <c r="DX23" s="87"/>
      <c r="DY23" s="87"/>
      <c r="DZ23" s="87"/>
      <c r="EA23" s="87"/>
      <c r="EB23" s="87"/>
      <c r="EC23" s="87"/>
      <c r="ED23" s="87"/>
      <c r="EE23" s="87"/>
      <c r="EF23" s="87"/>
      <c r="EG23" s="87"/>
      <c r="EH23" s="87"/>
      <c r="EI23" s="87"/>
      <c r="EJ23" s="87"/>
      <c r="EK23" s="87"/>
      <c r="EL23" s="87"/>
      <c r="EM23" s="87"/>
      <c r="EN23" s="87"/>
      <c r="EO23" s="87"/>
      <c r="EP23" s="87"/>
      <c r="EQ23" s="87"/>
    </row>
    <row r="24" spans="2:147" x14ac:dyDescent="0.25">
      <c r="D24" s="21"/>
      <c r="F24" s="24"/>
      <c r="G24" s="24"/>
      <c r="I24" s="46" t="s">
        <v>183</v>
      </c>
      <c r="N24" s="120">
        <f>N$4+17*7</f>
        <v>42669</v>
      </c>
      <c r="O24" s="2"/>
      <c r="P24" s="2"/>
      <c r="Q24" s="2"/>
      <c r="S24" s="28"/>
      <c r="U24" s="24"/>
      <c r="V24" s="3"/>
      <c r="W24" s="24"/>
      <c r="X24" s="3"/>
      <c r="Y24" s="24"/>
      <c r="AG24" s="44">
        <v>42646</v>
      </c>
      <c r="AI24" s="230"/>
      <c r="AJ24" s="234"/>
      <c r="AK24" s="232"/>
      <c r="AL24" s="233"/>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c r="CX24" s="87"/>
      <c r="CY24" s="87"/>
      <c r="CZ24" s="87"/>
      <c r="DA24" s="87"/>
      <c r="DB24" s="87"/>
      <c r="DC24" s="87"/>
      <c r="DD24" s="87"/>
      <c r="DE24" s="87"/>
      <c r="DF24" s="87"/>
      <c r="DG24" s="87"/>
      <c r="DH24" s="87"/>
      <c r="DI24" s="87"/>
      <c r="DJ24" s="87"/>
      <c r="DK24" s="87"/>
      <c r="DL24" s="87"/>
      <c r="DM24" s="87"/>
      <c r="DN24" s="87"/>
      <c r="DO24" s="87"/>
      <c r="DP24" s="87"/>
      <c r="DQ24" s="87"/>
      <c r="DR24" s="87"/>
      <c r="DS24" s="87"/>
      <c r="DT24" s="87"/>
      <c r="DU24" s="87"/>
      <c r="DV24" s="87"/>
      <c r="DW24" s="87"/>
      <c r="DX24" s="87"/>
      <c r="DY24" s="87"/>
      <c r="DZ24" s="87"/>
      <c r="EA24" s="87"/>
      <c r="EB24" s="87"/>
      <c r="EC24" s="87"/>
      <c r="ED24" s="87"/>
      <c r="EE24" s="87"/>
      <c r="EF24" s="87"/>
      <c r="EG24" s="87"/>
      <c r="EH24" s="87"/>
      <c r="EI24" s="87"/>
      <c r="EJ24" s="87"/>
      <c r="EK24" s="87"/>
      <c r="EL24" s="87"/>
      <c r="EM24" s="87"/>
      <c r="EN24" s="87"/>
      <c r="EO24" s="87"/>
      <c r="EP24" s="87"/>
      <c r="EQ24" s="87"/>
    </row>
    <row r="25" spans="2:147" x14ac:dyDescent="0.25">
      <c r="D25" s="21"/>
      <c r="F25" s="24"/>
      <c r="G25" s="24"/>
      <c r="I25" s="46" t="s">
        <v>184</v>
      </c>
      <c r="N25" s="121">
        <f>N$4+18*7</f>
        <v>42676</v>
      </c>
      <c r="O25" s="2"/>
      <c r="P25" s="2"/>
      <c r="Q25" s="2"/>
      <c r="S25" s="28"/>
      <c r="U25" s="24"/>
      <c r="V25" s="3"/>
      <c r="W25" s="24"/>
      <c r="X25" s="3"/>
      <c r="Y25" s="24"/>
      <c r="AG25" s="44">
        <v>42675</v>
      </c>
      <c r="AI25" s="230"/>
      <c r="AJ25" s="231"/>
      <c r="AK25" s="232"/>
      <c r="AL25" s="233"/>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87"/>
      <c r="DK25" s="87"/>
      <c r="DL25" s="87"/>
      <c r="DM25" s="87"/>
      <c r="DN25" s="87"/>
      <c r="DO25" s="87"/>
      <c r="DP25" s="87"/>
      <c r="DQ25" s="87"/>
      <c r="DR25" s="87"/>
      <c r="DS25" s="87"/>
      <c r="DT25" s="87"/>
      <c r="DU25" s="87"/>
      <c r="DV25" s="87"/>
      <c r="DW25" s="87"/>
      <c r="DX25" s="87"/>
      <c r="DY25" s="87"/>
      <c r="DZ25" s="87"/>
      <c r="EA25" s="87"/>
      <c r="EB25" s="87"/>
      <c r="EC25" s="87"/>
      <c r="ED25" s="87"/>
      <c r="EE25" s="87"/>
      <c r="EF25" s="87"/>
      <c r="EG25" s="87"/>
      <c r="EH25" s="87"/>
      <c r="EI25" s="87"/>
      <c r="EJ25" s="87"/>
      <c r="EK25" s="87"/>
      <c r="EL25" s="87"/>
      <c r="EM25" s="87"/>
      <c r="EN25" s="87"/>
      <c r="EO25" s="87"/>
      <c r="EP25" s="87"/>
      <c r="EQ25" s="87"/>
    </row>
    <row r="26" spans="2:147" x14ac:dyDescent="0.25">
      <c r="D26" s="21"/>
      <c r="F26" s="24"/>
      <c r="G26" s="24"/>
      <c r="I26" s="46" t="s">
        <v>185</v>
      </c>
      <c r="N26" s="122">
        <f>N$4+19*7</f>
        <v>42683</v>
      </c>
      <c r="O26" s="2"/>
      <c r="P26" s="2"/>
      <c r="Q26" s="2"/>
      <c r="S26" s="28"/>
      <c r="U26" s="24"/>
      <c r="V26" s="3"/>
      <c r="W26" s="24"/>
      <c r="X26" s="3"/>
      <c r="Y26" s="24"/>
      <c r="AG26" s="44">
        <v>42729</v>
      </c>
      <c r="AI26" s="230"/>
      <c r="AJ26" s="234"/>
      <c r="AK26" s="232"/>
      <c r="AL26" s="233"/>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c r="CX26" s="87"/>
      <c r="CY26" s="87"/>
      <c r="CZ26" s="87"/>
      <c r="DA26" s="87"/>
      <c r="DB26" s="87"/>
      <c r="DC26" s="87"/>
      <c r="DD26" s="87"/>
      <c r="DE26" s="87"/>
      <c r="DF26" s="87"/>
      <c r="DG26" s="87"/>
      <c r="DH26" s="87"/>
      <c r="DI26" s="87"/>
      <c r="DJ26" s="87"/>
      <c r="DK26" s="87"/>
      <c r="DL26" s="87"/>
      <c r="DM26" s="87"/>
      <c r="DN26" s="87"/>
      <c r="DO26" s="87"/>
      <c r="DP26" s="87"/>
      <c r="DQ26" s="87"/>
      <c r="DR26" s="87"/>
      <c r="DS26" s="87"/>
      <c r="DT26" s="87"/>
      <c r="DU26" s="87"/>
      <c r="DV26" s="87"/>
      <c r="DW26" s="87"/>
      <c r="DX26" s="87"/>
      <c r="DY26" s="87"/>
      <c r="DZ26" s="87"/>
      <c r="EA26" s="87"/>
      <c r="EB26" s="87"/>
      <c r="EC26" s="87"/>
      <c r="ED26" s="87"/>
      <c r="EE26" s="87"/>
      <c r="EF26" s="87"/>
      <c r="EG26" s="87"/>
      <c r="EH26" s="87"/>
      <c r="EI26" s="87"/>
      <c r="EJ26" s="87"/>
      <c r="EK26" s="87"/>
      <c r="EL26" s="87"/>
      <c r="EM26" s="87"/>
      <c r="EN26" s="87"/>
      <c r="EO26" s="87"/>
      <c r="EP26" s="87"/>
      <c r="EQ26" s="87"/>
    </row>
    <row r="27" spans="2:147" x14ac:dyDescent="0.25">
      <c r="D27" s="21"/>
      <c r="F27" s="24"/>
      <c r="G27" s="24"/>
      <c r="I27" s="46" t="s">
        <v>186</v>
      </c>
      <c r="N27" s="123">
        <f>N$4+20*7</f>
        <v>42690</v>
      </c>
      <c r="O27" s="2"/>
      <c r="P27" s="2"/>
      <c r="Q27" s="2"/>
      <c r="S27" s="28"/>
      <c r="U27" s="24"/>
      <c r="V27" s="3"/>
      <c r="W27" s="24"/>
      <c r="X27" s="3"/>
      <c r="Y27" s="24"/>
      <c r="AG27" s="44">
        <v>42730</v>
      </c>
      <c r="AI27" s="230"/>
      <c r="AJ27" s="231"/>
      <c r="AK27" s="232"/>
      <c r="AL27" s="233"/>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c r="CX27" s="87"/>
      <c r="CY27" s="87"/>
      <c r="CZ27" s="87"/>
      <c r="DA27" s="87"/>
      <c r="DB27" s="87"/>
      <c r="DC27" s="87"/>
      <c r="DD27" s="87"/>
      <c r="DE27" s="87"/>
      <c r="DF27" s="87"/>
      <c r="DG27" s="87"/>
      <c r="DH27" s="87"/>
      <c r="DI27" s="87"/>
      <c r="DJ27" s="87"/>
      <c r="DK27" s="87"/>
      <c r="DL27" s="87"/>
      <c r="DM27" s="87"/>
      <c r="DN27" s="87"/>
      <c r="DO27" s="87"/>
      <c r="DP27" s="87"/>
      <c r="DQ27" s="87"/>
      <c r="DR27" s="87"/>
      <c r="DS27" s="87"/>
      <c r="DT27" s="87"/>
      <c r="DU27" s="87"/>
      <c r="DV27" s="87"/>
      <c r="DW27" s="87"/>
      <c r="DX27" s="87"/>
      <c r="DY27" s="87"/>
      <c r="DZ27" s="87"/>
      <c r="EA27" s="87"/>
      <c r="EB27" s="87"/>
      <c r="EC27" s="87"/>
      <c r="ED27" s="87"/>
      <c r="EE27" s="87"/>
      <c r="EF27" s="87"/>
      <c r="EG27" s="87"/>
      <c r="EH27" s="87"/>
      <c r="EI27" s="87"/>
      <c r="EJ27" s="87"/>
      <c r="EK27" s="87"/>
      <c r="EL27" s="87"/>
      <c r="EM27" s="87"/>
      <c r="EN27" s="87"/>
      <c r="EO27" s="87"/>
      <c r="EP27" s="87"/>
      <c r="EQ27" s="87"/>
    </row>
    <row r="28" spans="2:147" x14ac:dyDescent="0.25">
      <c r="D28" s="21"/>
      <c r="F28" s="24"/>
      <c r="G28" s="24"/>
      <c r="I28" s="65"/>
      <c r="N28" s="124">
        <f>N$4+21*7</f>
        <v>42697</v>
      </c>
      <c r="O28" s="2"/>
      <c r="P28" s="2"/>
      <c r="Q28" s="2"/>
      <c r="S28" s="28"/>
      <c r="U28" s="24"/>
      <c r="V28" s="3"/>
      <c r="W28" s="24"/>
      <c r="X28" s="3"/>
      <c r="Y28" s="24"/>
      <c r="AG28" s="43">
        <v>42736</v>
      </c>
      <c r="AI28" s="230"/>
      <c r="AJ28" s="231"/>
      <c r="AK28" s="232"/>
      <c r="AL28" s="233"/>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c r="CX28" s="87"/>
      <c r="CY28" s="87"/>
      <c r="CZ28" s="87"/>
      <c r="DA28" s="87"/>
      <c r="DB28" s="87"/>
      <c r="DC28" s="87"/>
      <c r="DD28" s="87"/>
      <c r="DE28" s="87"/>
      <c r="DF28" s="87"/>
      <c r="DG28" s="87"/>
      <c r="DH28" s="87"/>
      <c r="DI28" s="87"/>
      <c r="DJ28" s="87"/>
      <c r="DK28" s="87"/>
      <c r="DL28" s="87"/>
      <c r="DM28" s="87"/>
      <c r="DN28" s="87"/>
      <c r="DO28" s="87"/>
      <c r="DP28" s="87"/>
      <c r="DQ28" s="87"/>
      <c r="DR28" s="87"/>
      <c r="DS28" s="87"/>
      <c r="DT28" s="87"/>
      <c r="DU28" s="87"/>
      <c r="DV28" s="87"/>
      <c r="DW28" s="87"/>
      <c r="DX28" s="87"/>
      <c r="DY28" s="87"/>
      <c r="DZ28" s="87"/>
      <c r="EA28" s="87"/>
      <c r="EB28" s="87"/>
      <c r="EC28" s="87"/>
      <c r="ED28" s="87"/>
      <c r="EE28" s="87"/>
      <c r="EF28" s="87"/>
      <c r="EG28" s="87"/>
      <c r="EH28" s="87"/>
      <c r="EI28" s="87"/>
      <c r="EJ28" s="87"/>
      <c r="EK28" s="87"/>
      <c r="EL28" s="87"/>
      <c r="EM28" s="87"/>
      <c r="EN28" s="87"/>
      <c r="EO28" s="87"/>
      <c r="EP28" s="87"/>
      <c r="EQ28" s="87"/>
    </row>
    <row r="29" spans="2:147" x14ac:dyDescent="0.25">
      <c r="D29" s="21"/>
      <c r="F29" s="24"/>
      <c r="G29" s="24"/>
      <c r="I29" s="65"/>
      <c r="N29" s="126">
        <f>N$4+22*7</f>
        <v>42704</v>
      </c>
      <c r="O29" s="2"/>
      <c r="P29" s="2"/>
      <c r="Q29" s="2"/>
      <c r="S29" s="28"/>
      <c r="U29" s="24"/>
      <c r="V29" s="3"/>
      <c r="W29" s="24"/>
      <c r="X29" s="3"/>
      <c r="Y29" s="24"/>
      <c r="AG29" s="44">
        <v>42741</v>
      </c>
      <c r="AI29" s="230"/>
      <c r="AJ29" s="231"/>
      <c r="AK29" s="232"/>
      <c r="AL29" s="233"/>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c r="CX29" s="87"/>
      <c r="CY29" s="87"/>
      <c r="CZ29" s="87"/>
      <c r="DA29" s="87"/>
      <c r="DB29" s="87"/>
      <c r="DC29" s="87"/>
      <c r="DD29" s="87"/>
      <c r="DE29" s="87"/>
      <c r="DF29" s="87"/>
      <c r="DG29" s="87"/>
      <c r="DH29" s="87"/>
      <c r="DI29" s="87"/>
      <c r="DJ29" s="87"/>
      <c r="DK29" s="87"/>
      <c r="DL29" s="87"/>
      <c r="DM29" s="87"/>
      <c r="DN29" s="87"/>
      <c r="DO29" s="87"/>
      <c r="DP29" s="87"/>
      <c r="DQ29" s="87"/>
      <c r="DR29" s="87"/>
      <c r="DS29" s="87"/>
      <c r="DT29" s="87"/>
      <c r="DU29" s="87"/>
      <c r="DV29" s="87"/>
      <c r="DW29" s="87"/>
      <c r="DX29" s="87"/>
      <c r="DY29" s="87"/>
      <c r="DZ29" s="87"/>
      <c r="EA29" s="87"/>
      <c r="EB29" s="87"/>
      <c r="EC29" s="87"/>
      <c r="ED29" s="87"/>
      <c r="EE29" s="87"/>
      <c r="EF29" s="87"/>
      <c r="EG29" s="87"/>
      <c r="EH29" s="87"/>
      <c r="EI29" s="87"/>
      <c r="EJ29" s="87"/>
      <c r="EK29" s="87"/>
      <c r="EL29" s="87"/>
      <c r="EM29" s="87"/>
      <c r="EN29" s="87"/>
      <c r="EO29" s="87"/>
      <c r="EP29" s="87"/>
      <c r="EQ29" s="87"/>
    </row>
    <row r="30" spans="2:147" x14ac:dyDescent="0.25">
      <c r="D30" s="21"/>
      <c r="F30" s="24"/>
      <c r="G30" s="24"/>
      <c r="I30" s="65"/>
      <c r="N30" s="127">
        <f>N$4+23*7</f>
        <v>42711</v>
      </c>
      <c r="O30" s="2"/>
      <c r="P30" s="2"/>
      <c r="Q30" s="2"/>
      <c r="S30" s="28"/>
      <c r="U30" s="24"/>
      <c r="V30" s="3"/>
      <c r="W30" s="24"/>
      <c r="X30" s="3"/>
      <c r="Y30" s="24"/>
      <c r="AG30" s="44">
        <v>42839</v>
      </c>
      <c r="AI30" s="230"/>
      <c r="AJ30" s="231"/>
      <c r="AK30" s="232"/>
      <c r="AL30" s="233"/>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c r="CX30" s="87"/>
      <c r="CY30" s="87"/>
      <c r="CZ30" s="87"/>
      <c r="DA30" s="87"/>
      <c r="DB30" s="87"/>
      <c r="DC30" s="87"/>
      <c r="DD30" s="87"/>
      <c r="DE30" s="87"/>
      <c r="DF30" s="87"/>
      <c r="DG30" s="87"/>
      <c r="DH30" s="87"/>
      <c r="DI30" s="87"/>
      <c r="DJ30" s="87"/>
      <c r="DK30" s="87"/>
      <c r="DL30" s="87"/>
      <c r="DM30" s="87"/>
      <c r="DN30" s="87"/>
      <c r="DO30" s="87"/>
      <c r="DP30" s="87"/>
      <c r="DQ30" s="87"/>
      <c r="DR30" s="87"/>
      <c r="DS30" s="87"/>
      <c r="DT30" s="87"/>
      <c r="DU30" s="87"/>
      <c r="DV30" s="87"/>
      <c r="DW30" s="87"/>
      <c r="DX30" s="87"/>
      <c r="DY30" s="87"/>
      <c r="DZ30" s="87"/>
      <c r="EA30" s="87"/>
      <c r="EB30" s="87"/>
      <c r="EC30" s="87"/>
      <c r="ED30" s="87"/>
      <c r="EE30" s="87"/>
      <c r="EF30" s="87"/>
      <c r="EG30" s="87"/>
      <c r="EH30" s="87"/>
      <c r="EI30" s="87"/>
      <c r="EJ30" s="87"/>
      <c r="EK30" s="87"/>
      <c r="EL30" s="87"/>
      <c r="EM30" s="87"/>
      <c r="EN30" s="87"/>
      <c r="EO30" s="87"/>
      <c r="EP30" s="87"/>
      <c r="EQ30" s="87"/>
    </row>
    <row r="31" spans="2:147" x14ac:dyDescent="0.25">
      <c r="D31" s="21"/>
      <c r="F31" s="24"/>
      <c r="G31" s="24"/>
      <c r="I31" s="65"/>
      <c r="N31" s="128">
        <f>N$4+24*7</f>
        <v>42718</v>
      </c>
      <c r="O31" s="2"/>
      <c r="P31" s="2"/>
      <c r="Q31" s="2"/>
      <c r="S31" s="28"/>
      <c r="U31" s="24"/>
      <c r="V31" s="3"/>
      <c r="W31" s="24"/>
      <c r="X31" s="3"/>
      <c r="Y31" s="24"/>
      <c r="AG31" s="44">
        <v>42856</v>
      </c>
      <c r="AI31" s="230"/>
      <c r="AJ31" s="231"/>
      <c r="AK31" s="232"/>
      <c r="AL31" s="233"/>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c r="CX31" s="87"/>
      <c r="CY31" s="87"/>
      <c r="CZ31" s="87"/>
      <c r="DA31" s="87"/>
      <c r="DB31" s="87"/>
      <c r="DC31" s="87"/>
      <c r="DD31" s="87"/>
      <c r="DE31" s="87"/>
      <c r="DF31" s="87"/>
      <c r="DG31" s="87"/>
      <c r="DH31" s="87"/>
      <c r="DI31" s="87"/>
      <c r="DJ31" s="87"/>
      <c r="DK31" s="87"/>
      <c r="DL31" s="87"/>
      <c r="DM31" s="87"/>
      <c r="DN31" s="87"/>
      <c r="DO31" s="87"/>
      <c r="DP31" s="87"/>
      <c r="DQ31" s="87"/>
      <c r="DR31" s="87"/>
      <c r="DS31" s="87"/>
      <c r="DT31" s="87"/>
      <c r="DU31" s="87"/>
      <c r="DV31" s="87"/>
      <c r="DW31" s="87"/>
      <c r="DX31" s="87"/>
      <c r="DY31" s="87"/>
      <c r="DZ31" s="87"/>
      <c r="EA31" s="87"/>
      <c r="EB31" s="87"/>
      <c r="EC31" s="87"/>
      <c r="ED31" s="87"/>
      <c r="EE31" s="87"/>
      <c r="EF31" s="87"/>
      <c r="EG31" s="87"/>
      <c r="EH31" s="87"/>
      <c r="EI31" s="87"/>
      <c r="EJ31" s="87"/>
      <c r="EK31" s="87"/>
      <c r="EL31" s="87"/>
      <c r="EM31" s="87"/>
      <c r="EN31" s="87"/>
      <c r="EO31" s="87"/>
      <c r="EP31" s="87"/>
      <c r="EQ31" s="87"/>
    </row>
    <row r="32" spans="2:147" x14ac:dyDescent="0.25">
      <c r="D32" s="21"/>
      <c r="F32" s="24"/>
      <c r="G32" s="24"/>
      <c r="I32" s="65"/>
      <c r="N32" s="129">
        <f>N$4+25*7</f>
        <v>42725</v>
      </c>
      <c r="O32" s="2"/>
      <c r="P32" s="2"/>
      <c r="Q32" s="2"/>
      <c r="S32" s="29"/>
      <c r="U32" s="24"/>
      <c r="V32" s="3"/>
      <c r="W32" s="24"/>
      <c r="X32" s="3"/>
      <c r="Y32" s="24"/>
      <c r="AG32" s="44">
        <v>42880</v>
      </c>
      <c r="AI32" s="230"/>
      <c r="AJ32" s="231"/>
      <c r="AK32" s="215"/>
      <c r="AL32" s="233"/>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c r="CX32" s="87"/>
      <c r="CY32" s="87"/>
      <c r="CZ32" s="87"/>
      <c r="DA32" s="87"/>
      <c r="DB32" s="87"/>
      <c r="DC32" s="87"/>
      <c r="DD32" s="87"/>
      <c r="DE32" s="87"/>
      <c r="DF32" s="87"/>
      <c r="DG32" s="87"/>
      <c r="DH32" s="87"/>
      <c r="DI32" s="87"/>
      <c r="DJ32" s="87"/>
      <c r="DK32" s="87"/>
      <c r="DL32" s="87"/>
      <c r="DM32" s="87"/>
      <c r="DN32" s="87"/>
      <c r="DO32" s="87"/>
      <c r="DP32" s="87"/>
      <c r="DQ32" s="87"/>
      <c r="DR32" s="87"/>
      <c r="DS32" s="87"/>
      <c r="DT32" s="87"/>
      <c r="DU32" s="87"/>
      <c r="DV32" s="87"/>
      <c r="DW32" s="87"/>
      <c r="DX32" s="87"/>
      <c r="DY32" s="87"/>
      <c r="DZ32" s="87"/>
      <c r="EA32" s="87"/>
      <c r="EB32" s="87"/>
      <c r="EC32" s="87"/>
      <c r="ED32" s="87"/>
      <c r="EE32" s="87"/>
      <c r="EF32" s="87"/>
      <c r="EG32" s="87"/>
      <c r="EH32" s="87"/>
      <c r="EI32" s="87"/>
      <c r="EJ32" s="87"/>
      <c r="EK32" s="87"/>
      <c r="EL32" s="87"/>
      <c r="EM32" s="87"/>
      <c r="EN32" s="87"/>
      <c r="EO32" s="87"/>
      <c r="EP32" s="87"/>
      <c r="EQ32" s="87"/>
    </row>
    <row r="33" spans="2:147" x14ac:dyDescent="0.25">
      <c r="B33" s="318" t="s">
        <v>85</v>
      </c>
      <c r="D33" s="21"/>
      <c r="F33" s="24"/>
      <c r="G33" s="24"/>
      <c r="I33" s="65"/>
      <c r="N33" s="130">
        <f>N$4+26*7</f>
        <v>42732</v>
      </c>
      <c r="O33" s="2"/>
      <c r="P33" s="2"/>
      <c r="Q33" s="2"/>
      <c r="S33" s="29"/>
      <c r="U33" s="24"/>
      <c r="V33" s="3"/>
      <c r="W33" s="24"/>
      <c r="X33" s="3"/>
      <c r="Y33" s="24"/>
      <c r="AG33" s="44">
        <v>42891</v>
      </c>
      <c r="AI33" s="230"/>
      <c r="AJ33" s="231"/>
      <c r="AK33" s="215"/>
      <c r="AL33" s="233"/>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c r="CX33" s="87"/>
      <c r="CY33" s="87"/>
      <c r="CZ33" s="87"/>
      <c r="DA33" s="87"/>
      <c r="DB33" s="87"/>
      <c r="DC33" s="87"/>
      <c r="DD33" s="87"/>
      <c r="DE33" s="87"/>
      <c r="DF33" s="87"/>
      <c r="DG33" s="87"/>
      <c r="DH33" s="87"/>
      <c r="DI33" s="87"/>
      <c r="DJ33" s="87"/>
      <c r="DK33" s="87"/>
      <c r="DL33" s="87"/>
      <c r="DM33" s="87"/>
      <c r="DN33" s="87"/>
      <c r="DO33" s="87"/>
      <c r="DP33" s="87"/>
      <c r="DQ33" s="87"/>
      <c r="DR33" s="87"/>
      <c r="DS33" s="87"/>
      <c r="DT33" s="87"/>
      <c r="DU33" s="87"/>
      <c r="DV33" s="87"/>
      <c r="DW33" s="87"/>
      <c r="DX33" s="87"/>
      <c r="DY33" s="87"/>
      <c r="DZ33" s="87"/>
      <c r="EA33" s="87"/>
      <c r="EB33" s="87"/>
      <c r="EC33" s="87"/>
      <c r="ED33" s="87"/>
      <c r="EE33" s="87"/>
      <c r="EF33" s="87"/>
      <c r="EG33" s="87"/>
      <c r="EH33" s="87"/>
      <c r="EI33" s="87"/>
      <c r="EJ33" s="87"/>
      <c r="EK33" s="87"/>
      <c r="EL33" s="87"/>
      <c r="EM33" s="87"/>
      <c r="EN33" s="87"/>
      <c r="EO33" s="87"/>
      <c r="EP33" s="87"/>
      <c r="EQ33" s="87"/>
    </row>
    <row r="34" spans="2:147" x14ac:dyDescent="0.25">
      <c r="D34" s="219"/>
      <c r="F34" s="24"/>
      <c r="G34" s="24"/>
      <c r="I34" s="65"/>
      <c r="N34" s="131">
        <f>N$4+27*7</f>
        <v>42739</v>
      </c>
      <c r="O34" s="2"/>
      <c r="P34" s="2"/>
      <c r="Q34" s="2"/>
      <c r="S34" s="29"/>
      <c r="U34" s="24"/>
      <c r="V34" s="3"/>
      <c r="W34" s="24"/>
      <c r="X34" s="3"/>
      <c r="Y34" s="24"/>
      <c r="AG34" s="44">
        <v>42901</v>
      </c>
      <c r="AI34" s="224"/>
      <c r="AJ34" s="222"/>
      <c r="AK34" s="215"/>
      <c r="AL34" s="220"/>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c r="DZ34" s="87"/>
      <c r="EA34" s="87"/>
      <c r="EB34" s="87"/>
      <c r="EC34" s="87"/>
      <c r="ED34" s="87"/>
      <c r="EE34" s="87"/>
      <c r="EF34" s="87"/>
      <c r="EG34" s="87"/>
      <c r="EH34" s="87"/>
      <c r="EI34" s="87"/>
      <c r="EJ34" s="87"/>
      <c r="EK34" s="87"/>
      <c r="EL34" s="87"/>
      <c r="EM34" s="87"/>
      <c r="EN34" s="87"/>
      <c r="EO34" s="87"/>
      <c r="EP34" s="87"/>
      <c r="EQ34" s="87"/>
    </row>
    <row r="35" spans="2:147" x14ac:dyDescent="0.25">
      <c r="D35" s="21"/>
      <c r="F35" s="24"/>
      <c r="G35" s="24"/>
      <c r="I35" s="65"/>
      <c r="N35" s="132">
        <f>N$4+28*7</f>
        <v>42746</v>
      </c>
      <c r="O35" s="2"/>
      <c r="P35" s="2"/>
      <c r="Q35" s="2"/>
      <c r="S35" s="29"/>
      <c r="U35" s="24"/>
      <c r="V35" s="3"/>
      <c r="W35" s="24"/>
      <c r="X35" s="3"/>
      <c r="Y35" s="24"/>
      <c r="AG35" s="44">
        <v>43011</v>
      </c>
      <c r="AI35" s="224"/>
      <c r="AJ35" s="221"/>
      <c r="AK35" s="215"/>
      <c r="AL35" s="220"/>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7"/>
      <c r="DT35" s="87"/>
      <c r="DU35" s="87"/>
      <c r="DV35" s="87"/>
      <c r="DW35" s="87"/>
      <c r="DX35" s="87"/>
      <c r="DY35" s="87"/>
      <c r="DZ35" s="87"/>
      <c r="EA35" s="87"/>
      <c r="EB35" s="87"/>
      <c r="EC35" s="87"/>
      <c r="ED35" s="87"/>
      <c r="EE35" s="87"/>
      <c r="EF35" s="87"/>
      <c r="EG35" s="87"/>
      <c r="EH35" s="87"/>
      <c r="EI35" s="87"/>
      <c r="EJ35" s="87"/>
      <c r="EK35" s="87"/>
      <c r="EL35" s="87"/>
      <c r="EM35" s="87"/>
      <c r="EN35" s="87"/>
      <c r="EO35" s="87"/>
      <c r="EP35" s="87"/>
      <c r="EQ35" s="87"/>
    </row>
    <row r="36" spans="2:147" x14ac:dyDescent="0.25">
      <c r="D36" s="21"/>
      <c r="F36" s="24"/>
      <c r="G36" s="24"/>
      <c r="I36" s="65"/>
      <c r="N36" s="133">
        <f>N$4+29*7</f>
        <v>42753</v>
      </c>
      <c r="O36" s="2"/>
      <c r="P36" s="2"/>
      <c r="Q36" s="2"/>
      <c r="S36" s="29"/>
      <c r="U36" s="24"/>
      <c r="V36" s="3"/>
      <c r="W36" s="24"/>
      <c r="X36" s="3"/>
      <c r="Y36" s="24"/>
      <c r="AG36" s="44">
        <v>43040</v>
      </c>
      <c r="AI36" s="224"/>
      <c r="AJ36" s="221"/>
      <c r="AK36" s="215"/>
      <c r="AL36" s="220"/>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c r="CX36" s="87"/>
      <c r="CY36" s="87"/>
      <c r="CZ36" s="87"/>
      <c r="DA36" s="87"/>
      <c r="DB36" s="87"/>
      <c r="DC36" s="87"/>
      <c r="DD36" s="87"/>
      <c r="DE36" s="87"/>
      <c r="DF36" s="87"/>
      <c r="DG36" s="87"/>
      <c r="DH36" s="87"/>
      <c r="DI36" s="87"/>
      <c r="DJ36" s="87"/>
      <c r="DK36" s="87"/>
      <c r="DL36" s="87"/>
      <c r="DM36" s="87"/>
      <c r="DN36" s="87"/>
      <c r="DO36" s="87"/>
      <c r="DP36" s="87"/>
      <c r="DQ36" s="87"/>
      <c r="DR36" s="87"/>
      <c r="DS36" s="87"/>
      <c r="DT36" s="87"/>
      <c r="DU36" s="87"/>
      <c r="DV36" s="87"/>
      <c r="DW36" s="87"/>
      <c r="DX36" s="87"/>
      <c r="DY36" s="87"/>
      <c r="DZ36" s="87"/>
      <c r="EA36" s="87"/>
      <c r="EB36" s="87"/>
      <c r="EC36" s="87"/>
      <c r="ED36" s="87"/>
      <c r="EE36" s="87"/>
      <c r="EF36" s="87"/>
      <c r="EG36" s="87"/>
      <c r="EH36" s="87"/>
      <c r="EI36" s="87"/>
      <c r="EJ36" s="87"/>
      <c r="EK36" s="87"/>
      <c r="EL36" s="87"/>
      <c r="EM36" s="87"/>
      <c r="EN36" s="87"/>
      <c r="EO36" s="87"/>
      <c r="EP36" s="87"/>
      <c r="EQ36" s="87"/>
    </row>
    <row r="37" spans="2:147" x14ac:dyDescent="0.25">
      <c r="D37" s="21"/>
      <c r="F37" s="24"/>
      <c r="G37" s="24"/>
      <c r="I37" s="65"/>
      <c r="N37" s="134">
        <f>N$4+30*7</f>
        <v>42760</v>
      </c>
      <c r="O37" s="2"/>
      <c r="P37" s="2"/>
      <c r="Q37" s="2"/>
      <c r="S37" s="29"/>
      <c r="U37" s="24"/>
      <c r="V37" s="3"/>
      <c r="W37" s="24"/>
      <c r="X37" s="3"/>
      <c r="Y37" s="24"/>
      <c r="AG37" s="44">
        <v>43094</v>
      </c>
      <c r="AI37" s="224"/>
      <c r="AJ37" s="221"/>
      <c r="AK37" s="215"/>
      <c r="AL37" s="220"/>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c r="CX37" s="87"/>
      <c r="CY37" s="87"/>
      <c r="CZ37" s="87"/>
      <c r="DA37" s="87"/>
      <c r="DB37" s="87"/>
      <c r="DC37" s="87"/>
      <c r="DD37" s="87"/>
      <c r="DE37" s="87"/>
      <c r="DF37" s="87"/>
      <c r="DG37" s="87"/>
      <c r="DH37" s="87"/>
      <c r="DI37" s="87"/>
      <c r="DJ37" s="87"/>
      <c r="DK37" s="87"/>
      <c r="DL37" s="87"/>
      <c r="DM37" s="87"/>
      <c r="DN37" s="87"/>
      <c r="DO37" s="87"/>
      <c r="DP37" s="87"/>
      <c r="DQ37" s="87"/>
      <c r="DR37" s="87"/>
      <c r="DS37" s="87"/>
      <c r="DT37" s="87"/>
      <c r="DU37" s="87"/>
      <c r="DV37" s="87"/>
      <c r="DW37" s="87"/>
      <c r="DX37" s="87"/>
      <c r="DY37" s="87"/>
      <c r="DZ37" s="87"/>
      <c r="EA37" s="87"/>
      <c r="EB37" s="87"/>
      <c r="EC37" s="87"/>
      <c r="ED37" s="87"/>
      <c r="EE37" s="87"/>
      <c r="EF37" s="87"/>
      <c r="EG37" s="87"/>
      <c r="EH37" s="87"/>
      <c r="EI37" s="87"/>
      <c r="EJ37" s="87"/>
      <c r="EK37" s="87"/>
      <c r="EL37" s="87"/>
      <c r="EM37" s="87"/>
      <c r="EN37" s="87"/>
      <c r="EO37" s="87"/>
      <c r="EP37" s="87"/>
      <c r="EQ37" s="87"/>
    </row>
    <row r="38" spans="2:147" x14ac:dyDescent="0.25">
      <c r="D38" s="21"/>
      <c r="F38" s="24"/>
      <c r="G38" s="24"/>
      <c r="I38" s="65"/>
      <c r="N38" s="135">
        <f>N$4+31*7</f>
        <v>42767</v>
      </c>
      <c r="O38" s="2"/>
      <c r="P38" s="2"/>
      <c r="Q38" s="2"/>
      <c r="S38" s="29"/>
      <c r="U38" s="24"/>
      <c r="V38" s="3"/>
      <c r="W38" s="24"/>
      <c r="X38" s="3"/>
      <c r="Y38" s="24"/>
      <c r="AG38" s="44">
        <v>43095</v>
      </c>
      <c r="AI38" s="224"/>
      <c r="AJ38" s="221"/>
      <c r="AK38" s="215"/>
      <c r="AL38" s="220"/>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c r="CX38" s="87"/>
      <c r="CY38" s="87"/>
      <c r="CZ38" s="87"/>
      <c r="DA38" s="87"/>
      <c r="DB38" s="87"/>
      <c r="DC38" s="87"/>
      <c r="DD38" s="87"/>
      <c r="DE38" s="87"/>
      <c r="DF38" s="87"/>
      <c r="DG38" s="87"/>
      <c r="DH38" s="87"/>
      <c r="DI38" s="87"/>
      <c r="DJ38" s="87"/>
      <c r="DK38" s="87"/>
      <c r="DL38" s="87"/>
      <c r="DM38" s="87"/>
      <c r="DN38" s="87"/>
      <c r="DO38" s="87"/>
      <c r="DP38" s="87"/>
      <c r="DQ38" s="87"/>
      <c r="DR38" s="87"/>
      <c r="DS38" s="87"/>
      <c r="DT38" s="87"/>
      <c r="DU38" s="87"/>
      <c r="DV38" s="87"/>
      <c r="DW38" s="87"/>
      <c r="DX38" s="87"/>
      <c r="DY38" s="87"/>
      <c r="DZ38" s="87"/>
      <c r="EA38" s="87"/>
      <c r="EB38" s="87"/>
      <c r="EC38" s="87"/>
      <c r="ED38" s="87"/>
      <c r="EE38" s="87"/>
      <c r="EF38" s="87"/>
      <c r="EG38" s="87"/>
      <c r="EH38" s="87"/>
      <c r="EI38" s="87"/>
      <c r="EJ38" s="87"/>
      <c r="EK38" s="87"/>
      <c r="EL38" s="87"/>
      <c r="EM38" s="87"/>
      <c r="EN38" s="87"/>
      <c r="EO38" s="87"/>
      <c r="EP38" s="87"/>
      <c r="EQ38" s="87"/>
    </row>
    <row r="39" spans="2:147" x14ac:dyDescent="0.25">
      <c r="D39" s="21"/>
      <c r="F39" s="24"/>
      <c r="G39" s="24"/>
      <c r="I39" s="65"/>
      <c r="N39" s="136">
        <f>N$4+32*7</f>
        <v>42774</v>
      </c>
      <c r="O39" s="2"/>
      <c r="P39" s="2"/>
      <c r="Q39" s="2"/>
      <c r="S39" s="29"/>
      <c r="U39" s="24"/>
      <c r="V39" s="3"/>
      <c r="W39" s="24"/>
      <c r="X39" s="3"/>
      <c r="Y39" s="24"/>
      <c r="AG39" s="43">
        <v>43101</v>
      </c>
      <c r="AI39" s="224"/>
      <c r="AJ39" s="221"/>
      <c r="AK39" s="215"/>
      <c r="AL39" s="220"/>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c r="CX39" s="87"/>
      <c r="CY39" s="87"/>
      <c r="CZ39" s="87"/>
      <c r="DA39" s="87"/>
      <c r="DB39" s="87"/>
      <c r="DC39" s="87"/>
      <c r="DD39" s="87"/>
      <c r="DE39" s="87"/>
      <c r="DF39" s="87"/>
      <c r="DG39" s="87"/>
      <c r="DH39" s="87"/>
      <c r="DI39" s="87"/>
      <c r="DJ39" s="87"/>
      <c r="DK39" s="87"/>
      <c r="DL39" s="87"/>
      <c r="DM39" s="87"/>
      <c r="DN39" s="87"/>
      <c r="DO39" s="87"/>
      <c r="DP39" s="87"/>
      <c r="DQ39" s="87"/>
      <c r="DR39" s="87"/>
      <c r="DS39" s="87"/>
      <c r="DT39" s="87"/>
      <c r="DU39" s="87"/>
      <c r="DV39" s="87"/>
      <c r="DW39" s="87"/>
      <c r="DX39" s="87"/>
      <c r="DY39" s="87"/>
      <c r="DZ39" s="87"/>
      <c r="EA39" s="87"/>
      <c r="EB39" s="87"/>
      <c r="EC39" s="87"/>
      <c r="ED39" s="87"/>
      <c r="EE39" s="87"/>
      <c r="EF39" s="87"/>
      <c r="EG39" s="87"/>
      <c r="EH39" s="87"/>
      <c r="EI39" s="87"/>
      <c r="EJ39" s="87"/>
      <c r="EK39" s="87"/>
      <c r="EL39" s="87"/>
      <c r="EM39" s="87"/>
      <c r="EN39" s="87"/>
      <c r="EO39" s="87"/>
      <c r="EP39" s="87"/>
      <c r="EQ39" s="87"/>
    </row>
    <row r="40" spans="2:147" x14ac:dyDescent="0.25">
      <c r="D40" s="21"/>
      <c r="F40" s="24"/>
      <c r="G40" s="24"/>
      <c r="I40" s="65"/>
      <c r="N40" s="137">
        <f>N$4+33*7</f>
        <v>42781</v>
      </c>
      <c r="O40" s="2"/>
      <c r="P40" s="2"/>
      <c r="Q40" s="2"/>
      <c r="S40" s="29"/>
      <c r="U40" s="24"/>
      <c r="V40" s="3"/>
      <c r="W40" s="24"/>
      <c r="X40" s="3"/>
      <c r="Y40" s="24"/>
      <c r="AG40" s="44">
        <v>43106</v>
      </c>
      <c r="AI40" s="224"/>
      <c r="AJ40" s="221"/>
      <c r="AK40" s="215"/>
      <c r="AL40" s="220"/>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c r="CX40" s="87"/>
      <c r="CY40" s="87"/>
      <c r="CZ40" s="87"/>
      <c r="DA40" s="87"/>
      <c r="DB40" s="87"/>
      <c r="DC40" s="87"/>
      <c r="DD40" s="87"/>
      <c r="DE40" s="87"/>
      <c r="DF40" s="87"/>
      <c r="DG40" s="87"/>
      <c r="DH40" s="87"/>
      <c r="DI40" s="87"/>
      <c r="DJ40" s="87"/>
      <c r="DK40" s="87"/>
      <c r="DL40" s="87"/>
      <c r="DM40" s="87"/>
      <c r="DN40" s="87"/>
      <c r="DO40" s="87"/>
      <c r="DP40" s="87"/>
      <c r="DQ40" s="87"/>
      <c r="DR40" s="87"/>
      <c r="DS40" s="87"/>
      <c r="DT40" s="87"/>
      <c r="DU40" s="87"/>
      <c r="DV40" s="87"/>
      <c r="DW40" s="87"/>
      <c r="DX40" s="87"/>
      <c r="DY40" s="87"/>
      <c r="DZ40" s="87"/>
      <c r="EA40" s="87"/>
      <c r="EB40" s="87"/>
      <c r="EC40" s="87"/>
      <c r="ED40" s="87"/>
      <c r="EE40" s="87"/>
      <c r="EF40" s="87"/>
      <c r="EG40" s="87"/>
      <c r="EH40" s="87"/>
      <c r="EI40" s="87"/>
      <c r="EJ40" s="87"/>
      <c r="EK40" s="87"/>
      <c r="EL40" s="87"/>
      <c r="EM40" s="87"/>
      <c r="EN40" s="87"/>
      <c r="EO40" s="87"/>
      <c r="EP40" s="87"/>
      <c r="EQ40" s="87"/>
    </row>
    <row r="41" spans="2:147" x14ac:dyDescent="0.25">
      <c r="D41" s="21"/>
      <c r="F41" s="26"/>
      <c r="G41" s="26"/>
      <c r="I41" s="66"/>
      <c r="N41" s="138">
        <f>N$4+34*7</f>
        <v>42788</v>
      </c>
      <c r="O41" s="2"/>
      <c r="P41" s="2"/>
      <c r="Q41" s="2"/>
      <c r="S41" s="30"/>
      <c r="U41" s="25"/>
      <c r="V41" s="3"/>
      <c r="W41" s="25"/>
      <c r="X41" s="3"/>
      <c r="Y41" s="25"/>
      <c r="AG41" s="44">
        <v>43189</v>
      </c>
      <c r="AI41" s="224"/>
      <c r="AJ41" s="221"/>
      <c r="AK41" s="215"/>
      <c r="AL41" s="220"/>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c r="CX41" s="87"/>
      <c r="CY41" s="87"/>
      <c r="CZ41" s="87"/>
      <c r="DA41" s="87"/>
      <c r="DB41" s="87"/>
      <c r="DC41" s="87"/>
      <c r="DD41" s="87"/>
      <c r="DE41" s="87"/>
      <c r="DF41" s="87"/>
      <c r="DG41" s="87"/>
      <c r="DH41" s="87"/>
      <c r="DI41" s="87"/>
      <c r="DJ41" s="87"/>
      <c r="DK41" s="87"/>
      <c r="DL41" s="87"/>
      <c r="DM41" s="87"/>
      <c r="DN41" s="87"/>
      <c r="DO41" s="87"/>
      <c r="DP41" s="87"/>
      <c r="DQ41" s="87"/>
      <c r="DR41" s="87"/>
      <c r="DS41" s="87"/>
      <c r="DT41" s="87"/>
      <c r="DU41" s="87"/>
      <c r="DV41" s="87"/>
      <c r="DW41" s="87"/>
      <c r="DX41" s="87"/>
      <c r="DY41" s="87"/>
      <c r="DZ41" s="87"/>
      <c r="EA41" s="87"/>
      <c r="EB41" s="87"/>
      <c r="EC41" s="87"/>
      <c r="ED41" s="87"/>
      <c r="EE41" s="87"/>
      <c r="EF41" s="87"/>
      <c r="EG41" s="87"/>
      <c r="EH41" s="87"/>
      <c r="EI41" s="87"/>
      <c r="EJ41" s="87"/>
      <c r="EK41" s="87"/>
      <c r="EL41" s="87"/>
      <c r="EM41" s="87"/>
      <c r="EN41" s="87"/>
      <c r="EO41" s="87"/>
      <c r="EP41" s="87"/>
      <c r="EQ41" s="87"/>
    </row>
    <row r="42" spans="2:147" x14ac:dyDescent="0.25">
      <c r="D42" s="219"/>
      <c r="N42" s="139">
        <f>N$4+35*7</f>
        <v>42795</v>
      </c>
      <c r="O42" s="2"/>
      <c r="P42" s="2"/>
      <c r="Q42" s="2"/>
      <c r="U42" s="21"/>
      <c r="V42" s="3"/>
      <c r="W42" s="21"/>
      <c r="X42" s="3"/>
      <c r="Y42" s="21"/>
      <c r="AG42" s="44">
        <v>43192</v>
      </c>
      <c r="AI42" s="224"/>
      <c r="AJ42" s="222"/>
      <c r="AK42" s="215"/>
      <c r="AL42" s="220"/>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c r="CX42" s="87"/>
      <c r="CY42" s="87"/>
      <c r="CZ42" s="87"/>
      <c r="DA42" s="87"/>
      <c r="DB42" s="87"/>
      <c r="DC42" s="87"/>
      <c r="DD42" s="87"/>
      <c r="DE42" s="87"/>
      <c r="DF42" s="87"/>
      <c r="DG42" s="87"/>
      <c r="DH42" s="87"/>
      <c r="DI42" s="87"/>
      <c r="DJ42" s="87"/>
      <c r="DK42" s="87"/>
      <c r="DL42" s="87"/>
      <c r="DM42" s="87"/>
      <c r="DN42" s="87"/>
      <c r="DO42" s="87"/>
      <c r="DP42" s="87"/>
      <c r="DQ42" s="87"/>
      <c r="DR42" s="87"/>
      <c r="DS42" s="87"/>
      <c r="DT42" s="87"/>
      <c r="DU42" s="87"/>
      <c r="DV42" s="87"/>
      <c r="DW42" s="87"/>
      <c r="DX42" s="87"/>
      <c r="DY42" s="87"/>
      <c r="DZ42" s="87"/>
      <c r="EA42" s="87"/>
      <c r="EB42" s="87"/>
      <c r="EC42" s="87"/>
      <c r="ED42" s="87"/>
      <c r="EE42" s="87"/>
      <c r="EF42" s="87"/>
      <c r="EG42" s="87"/>
      <c r="EH42" s="87"/>
      <c r="EI42" s="87"/>
      <c r="EJ42" s="87"/>
      <c r="EK42" s="87"/>
      <c r="EL42" s="87"/>
      <c r="EM42" s="87"/>
      <c r="EN42" s="87"/>
      <c r="EO42" s="87"/>
      <c r="EP42" s="87"/>
      <c r="EQ42" s="87"/>
    </row>
    <row r="43" spans="2:147" x14ac:dyDescent="0.25">
      <c r="D43" s="21"/>
      <c r="N43" s="140">
        <f>N$4+36*7</f>
        <v>42802</v>
      </c>
      <c r="O43" s="2"/>
      <c r="P43" s="2"/>
      <c r="Q43" s="2"/>
      <c r="U43" s="21"/>
      <c r="V43" s="3"/>
      <c r="W43" s="21"/>
      <c r="X43" s="3"/>
      <c r="Y43" s="21"/>
      <c r="AG43" s="44">
        <v>43221</v>
      </c>
      <c r="AI43" s="224"/>
      <c r="AJ43" s="221"/>
      <c r="AK43" s="215"/>
      <c r="AL43" s="220"/>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c r="CX43" s="87"/>
      <c r="CY43" s="87"/>
      <c r="CZ43" s="87"/>
      <c r="DA43" s="87"/>
      <c r="DB43" s="87"/>
      <c r="DC43" s="87"/>
      <c r="DD43" s="87"/>
      <c r="DE43" s="87"/>
      <c r="DF43" s="87"/>
      <c r="DG43" s="87"/>
      <c r="DH43" s="87"/>
      <c r="DI43" s="87"/>
      <c r="DJ43" s="87"/>
      <c r="DK43" s="87"/>
      <c r="DL43" s="87"/>
      <c r="DM43" s="87"/>
      <c r="DN43" s="87"/>
      <c r="DO43" s="87"/>
      <c r="DP43" s="87"/>
      <c r="DQ43" s="87"/>
      <c r="DR43" s="87"/>
      <c r="DS43" s="87"/>
      <c r="DT43" s="87"/>
      <c r="DU43" s="87"/>
      <c r="DV43" s="87"/>
      <c r="DW43" s="87"/>
      <c r="DX43" s="87"/>
      <c r="DY43" s="87"/>
      <c r="DZ43" s="87"/>
      <c r="EA43" s="87"/>
      <c r="EB43" s="87"/>
      <c r="EC43" s="87"/>
      <c r="ED43" s="87"/>
      <c r="EE43" s="87"/>
      <c r="EF43" s="87"/>
      <c r="EG43" s="87"/>
      <c r="EH43" s="87"/>
      <c r="EI43" s="87"/>
      <c r="EJ43" s="87"/>
      <c r="EK43" s="87"/>
      <c r="EL43" s="87"/>
      <c r="EM43" s="87"/>
      <c r="EN43" s="87"/>
      <c r="EO43" s="87"/>
      <c r="EP43" s="87"/>
      <c r="EQ43" s="87"/>
    </row>
    <row r="44" spans="2:147" x14ac:dyDescent="0.25">
      <c r="B44" s="318" t="s">
        <v>89</v>
      </c>
      <c r="D44" s="21"/>
      <c r="N44" s="141">
        <f>N$4+37*7</f>
        <v>42809</v>
      </c>
      <c r="U44" s="21"/>
      <c r="V44" s="3"/>
      <c r="W44" s="21"/>
      <c r="X44" s="3"/>
      <c r="Y44" s="21"/>
      <c r="AG44" s="44">
        <v>43230</v>
      </c>
      <c r="AI44" s="224"/>
      <c r="AJ44" s="221"/>
      <c r="AK44" s="215"/>
      <c r="AL44" s="220"/>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c r="CX44" s="87"/>
      <c r="CY44" s="87"/>
      <c r="CZ44" s="87"/>
      <c r="DA44" s="87"/>
      <c r="DB44" s="87"/>
      <c r="DC44" s="87"/>
      <c r="DD44" s="87"/>
      <c r="DE44" s="87"/>
      <c r="DF44" s="87"/>
      <c r="DG44" s="87"/>
      <c r="DH44" s="87"/>
      <c r="DI44" s="87"/>
      <c r="DJ44" s="87"/>
      <c r="DK44" s="87"/>
      <c r="DL44" s="87"/>
      <c r="DM44" s="87"/>
      <c r="DN44" s="87"/>
      <c r="DO44" s="87"/>
      <c r="DP44" s="87"/>
      <c r="DQ44" s="87"/>
      <c r="DR44" s="87"/>
      <c r="DS44" s="87"/>
      <c r="DT44" s="87"/>
      <c r="DU44" s="87"/>
      <c r="DV44" s="87"/>
      <c r="DW44" s="87"/>
      <c r="DX44" s="87"/>
      <c r="DY44" s="87"/>
      <c r="DZ44" s="87"/>
      <c r="EA44" s="87"/>
      <c r="EB44" s="87"/>
      <c r="EC44" s="87"/>
      <c r="ED44" s="87"/>
      <c r="EE44" s="87"/>
      <c r="EF44" s="87"/>
      <c r="EG44" s="87"/>
      <c r="EH44" s="87"/>
      <c r="EI44" s="87"/>
      <c r="EJ44" s="87"/>
      <c r="EK44" s="87"/>
      <c r="EL44" s="87"/>
      <c r="EM44" s="87"/>
      <c r="EN44" s="87"/>
      <c r="EO44" s="87"/>
      <c r="EP44" s="87"/>
      <c r="EQ44" s="87"/>
    </row>
    <row r="45" spans="2:147" x14ac:dyDescent="0.25">
      <c r="B45" s="77">
        <v>0</v>
      </c>
      <c r="C45" s="76"/>
      <c r="D45" s="21"/>
      <c r="N45" s="142">
        <f>N$4+38*7</f>
        <v>42816</v>
      </c>
      <c r="U45" s="21"/>
      <c r="V45" s="3"/>
      <c r="W45" s="21"/>
      <c r="X45" s="3"/>
      <c r="Y45" s="21"/>
      <c r="AG45" s="44">
        <v>43241</v>
      </c>
      <c r="AI45" s="224"/>
      <c r="AJ45" s="221"/>
      <c r="AK45" s="215"/>
      <c r="AL45" s="220"/>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c r="CX45" s="87"/>
      <c r="CY45" s="87"/>
      <c r="CZ45" s="87"/>
      <c r="DA45" s="87"/>
      <c r="DB45" s="87"/>
      <c r="DC45" s="87"/>
      <c r="DD45" s="87"/>
      <c r="DE45" s="87"/>
      <c r="DF45" s="87"/>
      <c r="DG45" s="87"/>
      <c r="DH45" s="87"/>
      <c r="DI45" s="87"/>
      <c r="DJ45" s="87"/>
      <c r="DK45" s="87"/>
      <c r="DL45" s="87"/>
      <c r="DM45" s="87"/>
      <c r="DN45" s="87"/>
      <c r="DO45" s="87"/>
      <c r="DP45" s="87"/>
      <c r="DQ45" s="87"/>
      <c r="DR45" s="87"/>
      <c r="DS45" s="87"/>
      <c r="DT45" s="87"/>
      <c r="DU45" s="87"/>
      <c r="DV45" s="87"/>
      <c r="DW45" s="87"/>
      <c r="DX45" s="87"/>
      <c r="DY45" s="87"/>
      <c r="DZ45" s="87"/>
      <c r="EA45" s="87"/>
      <c r="EB45" s="87"/>
      <c r="EC45" s="87"/>
      <c r="ED45" s="87"/>
      <c r="EE45" s="87"/>
      <c r="EF45" s="87"/>
      <c r="EG45" s="87"/>
      <c r="EH45" s="87"/>
      <c r="EI45" s="87"/>
      <c r="EJ45" s="87"/>
      <c r="EK45" s="87"/>
      <c r="EL45" s="87"/>
      <c r="EM45" s="87"/>
      <c r="EN45" s="87"/>
      <c r="EO45" s="87"/>
      <c r="EP45" s="87"/>
      <c r="EQ45" s="87"/>
    </row>
    <row r="46" spans="2:147" x14ac:dyDescent="0.25">
      <c r="D46" s="21"/>
      <c r="N46" s="143">
        <f>N$4+39*7</f>
        <v>42823</v>
      </c>
      <c r="U46" s="21"/>
      <c r="V46" s="3"/>
      <c r="W46" s="21"/>
      <c r="X46" s="3"/>
      <c r="Y46" s="21"/>
      <c r="AG46" s="44">
        <v>43251</v>
      </c>
      <c r="AI46" s="224"/>
      <c r="AJ46" s="221"/>
      <c r="AK46" s="215"/>
      <c r="AL46" s="220"/>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c r="CX46" s="87"/>
      <c r="CY46" s="87"/>
      <c r="CZ46" s="87"/>
      <c r="DA46" s="87"/>
      <c r="DB46" s="87"/>
      <c r="DC46" s="87"/>
      <c r="DD46" s="87"/>
      <c r="DE46" s="87"/>
      <c r="DF46" s="87"/>
      <c r="DG46" s="87"/>
      <c r="DH46" s="87"/>
      <c r="DI46" s="87"/>
      <c r="DJ46" s="87"/>
      <c r="DK46" s="87"/>
      <c r="DL46" s="87"/>
      <c r="DM46" s="87"/>
      <c r="DN46" s="87"/>
      <c r="DO46" s="87"/>
      <c r="DP46" s="87"/>
      <c r="DQ46" s="87"/>
      <c r="DR46" s="87"/>
      <c r="DS46" s="87"/>
      <c r="DT46" s="87"/>
      <c r="DU46" s="87"/>
      <c r="DV46" s="87"/>
      <c r="DW46" s="87"/>
      <c r="DX46" s="87"/>
      <c r="DY46" s="87"/>
      <c r="DZ46" s="87"/>
      <c r="EA46" s="87"/>
      <c r="EB46" s="87"/>
      <c r="EC46" s="87"/>
      <c r="ED46" s="87"/>
      <c r="EE46" s="87"/>
      <c r="EF46" s="87"/>
      <c r="EG46" s="87"/>
      <c r="EH46" s="87"/>
      <c r="EI46" s="87"/>
      <c r="EJ46" s="87"/>
      <c r="EK46" s="87"/>
      <c r="EL46" s="87"/>
      <c r="EM46" s="87"/>
      <c r="EN46" s="87"/>
      <c r="EO46" s="87"/>
      <c r="EP46" s="87"/>
      <c r="EQ46" s="87"/>
    </row>
    <row r="47" spans="2:147" x14ac:dyDescent="0.25">
      <c r="D47" s="21"/>
      <c r="N47" s="144">
        <f>N$4+40*7</f>
        <v>42830</v>
      </c>
      <c r="U47" s="21"/>
      <c r="V47" s="3"/>
      <c r="W47" s="21"/>
      <c r="X47" s="3"/>
      <c r="Y47" s="21"/>
      <c r="AG47" s="44">
        <v>43376</v>
      </c>
      <c r="AI47" s="224"/>
      <c r="AJ47" s="221"/>
      <c r="AK47" s="215"/>
      <c r="AL47" s="220"/>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c r="CX47" s="87"/>
      <c r="CY47" s="87"/>
      <c r="CZ47" s="87"/>
      <c r="DA47" s="87"/>
      <c r="DB47" s="87"/>
      <c r="DC47" s="87"/>
      <c r="DD47" s="87"/>
      <c r="DE47" s="87"/>
      <c r="DF47" s="87"/>
      <c r="DG47" s="87"/>
      <c r="DH47" s="87"/>
      <c r="DI47" s="87"/>
      <c r="DJ47" s="87"/>
      <c r="DK47" s="87"/>
      <c r="DL47" s="87"/>
      <c r="DM47" s="87"/>
      <c r="DN47" s="87"/>
      <c r="DO47" s="87"/>
      <c r="DP47" s="87"/>
      <c r="DQ47" s="87"/>
      <c r="DR47" s="87"/>
      <c r="DS47" s="87"/>
      <c r="DT47" s="87"/>
      <c r="DU47" s="87"/>
      <c r="DV47" s="87"/>
      <c r="DW47" s="87"/>
      <c r="DX47" s="87"/>
      <c r="DY47" s="87"/>
      <c r="DZ47" s="87"/>
      <c r="EA47" s="87"/>
      <c r="EB47" s="87"/>
      <c r="EC47" s="87"/>
      <c r="ED47" s="87"/>
      <c r="EE47" s="87"/>
      <c r="EF47" s="87"/>
      <c r="EG47" s="87"/>
      <c r="EH47" s="87"/>
      <c r="EI47" s="87"/>
      <c r="EJ47" s="87"/>
      <c r="EK47" s="87"/>
      <c r="EL47" s="87"/>
      <c r="EM47" s="87"/>
      <c r="EN47" s="87"/>
      <c r="EO47" s="87"/>
      <c r="EP47" s="87"/>
      <c r="EQ47" s="87"/>
    </row>
    <row r="48" spans="2:147" ht="32.25" customHeight="1" x14ac:dyDescent="0.25">
      <c r="B48" s="320" t="s">
        <v>157</v>
      </c>
      <c r="D48" s="21"/>
      <c r="N48" s="145">
        <f>N$4+41*7</f>
        <v>42837</v>
      </c>
      <c r="U48" s="21"/>
      <c r="V48" s="3"/>
      <c r="W48" s="21"/>
      <c r="X48" s="3"/>
      <c r="Y48" s="21"/>
      <c r="AG48" s="44">
        <v>43405</v>
      </c>
      <c r="AI48" s="224"/>
      <c r="AJ48" s="221"/>
      <c r="AK48" s="215"/>
      <c r="AL48" s="220"/>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c r="CX48" s="87"/>
      <c r="CY48" s="87"/>
      <c r="CZ48" s="87"/>
      <c r="DA48" s="87"/>
      <c r="DB48" s="87"/>
      <c r="DC48" s="87"/>
      <c r="DD48" s="87"/>
      <c r="DE48" s="87"/>
      <c r="DF48" s="87"/>
      <c r="DG48" s="87"/>
      <c r="DH48" s="87"/>
      <c r="DI48" s="87"/>
      <c r="DJ48" s="87"/>
      <c r="DK48" s="87"/>
      <c r="DL48" s="87"/>
      <c r="DM48" s="87"/>
      <c r="DN48" s="87"/>
      <c r="DO48" s="87"/>
      <c r="DP48" s="87"/>
      <c r="DQ48" s="87"/>
      <c r="DR48" s="87"/>
      <c r="DS48" s="87"/>
      <c r="DT48" s="87"/>
      <c r="DU48" s="87"/>
      <c r="DV48" s="87"/>
      <c r="DW48" s="87"/>
      <c r="DX48" s="87"/>
      <c r="DY48" s="87"/>
      <c r="DZ48" s="87"/>
      <c r="EA48" s="87"/>
      <c r="EB48" s="87"/>
      <c r="EC48" s="87"/>
      <c r="ED48" s="87"/>
      <c r="EE48" s="87"/>
      <c r="EF48" s="87"/>
      <c r="EG48" s="87"/>
      <c r="EH48" s="87"/>
      <c r="EI48" s="87"/>
      <c r="EJ48" s="87"/>
      <c r="EK48" s="87"/>
      <c r="EL48" s="87"/>
      <c r="EM48" s="87"/>
      <c r="EN48" s="87"/>
      <c r="EO48" s="87"/>
      <c r="EP48" s="87"/>
      <c r="EQ48" s="87"/>
    </row>
    <row r="49" spans="2:147" x14ac:dyDescent="0.25">
      <c r="B49" s="2">
        <v>0</v>
      </c>
      <c r="D49" s="21"/>
      <c r="E49" s="16"/>
      <c r="F49" s="16" t="s">
        <v>86</v>
      </c>
      <c r="G49" s="16" t="s">
        <v>30</v>
      </c>
      <c r="H49" s="16" t="s">
        <v>87</v>
      </c>
      <c r="I49" s="75" t="s">
        <v>88</v>
      </c>
      <c r="N49" s="146">
        <f>N$4+42*7</f>
        <v>42844</v>
      </c>
      <c r="R49" s="87"/>
      <c r="U49" s="21"/>
      <c r="V49" s="3"/>
      <c r="W49" s="21"/>
      <c r="X49" s="3"/>
      <c r="Y49" s="21"/>
      <c r="Z49" s="87"/>
      <c r="AG49" s="44">
        <v>43459</v>
      </c>
      <c r="AH49" s="87"/>
      <c r="AI49" s="224"/>
      <c r="AJ49" s="221"/>
      <c r="AK49" s="215"/>
      <c r="AL49" s="220"/>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c r="CX49" s="87"/>
      <c r="CY49" s="87"/>
      <c r="CZ49" s="87"/>
      <c r="DA49" s="87"/>
      <c r="DB49" s="87"/>
      <c r="DC49" s="87"/>
      <c r="DD49" s="87"/>
      <c r="DE49" s="87"/>
      <c r="DF49" s="87"/>
      <c r="DG49" s="87"/>
      <c r="DH49" s="87"/>
      <c r="DI49" s="87"/>
      <c r="DJ49" s="87"/>
      <c r="DK49" s="87"/>
      <c r="DL49" s="87"/>
      <c r="DM49" s="87"/>
      <c r="DN49" s="87"/>
      <c r="DO49" s="87"/>
      <c r="DP49" s="87"/>
      <c r="DQ49" s="87"/>
      <c r="DR49" s="87"/>
      <c r="DS49" s="87"/>
      <c r="DT49" s="87"/>
      <c r="DU49" s="87"/>
      <c r="DV49" s="87"/>
      <c r="DW49" s="87"/>
      <c r="DX49" s="87"/>
      <c r="DY49" s="87"/>
      <c r="DZ49" s="87"/>
      <c r="EA49" s="87"/>
      <c r="EB49" s="87"/>
      <c r="EC49" s="87"/>
      <c r="ED49" s="87"/>
      <c r="EE49" s="87"/>
      <c r="EF49" s="87"/>
      <c r="EG49" s="87"/>
      <c r="EH49" s="87"/>
      <c r="EI49" s="87"/>
      <c r="EJ49" s="87"/>
      <c r="EK49" s="87"/>
      <c r="EL49" s="87"/>
      <c r="EM49" s="87"/>
      <c r="EN49" s="87"/>
      <c r="EO49" s="87"/>
      <c r="EP49" s="87"/>
      <c r="EQ49" s="87"/>
    </row>
    <row r="50" spans="2:147" ht="15.75" x14ac:dyDescent="0.25">
      <c r="D50" s="219"/>
      <c r="F50" s="74">
        <v>3</v>
      </c>
      <c r="G50" s="74" t="s">
        <v>218</v>
      </c>
      <c r="H50" t="s">
        <v>2</v>
      </c>
      <c r="N50" s="147">
        <f>N$4+43*7</f>
        <v>42851</v>
      </c>
      <c r="R50" s="87"/>
      <c r="U50" s="313"/>
      <c r="V50" s="313"/>
      <c r="W50" s="313"/>
      <c r="X50" s="3"/>
      <c r="Y50" s="21"/>
      <c r="Z50" s="87"/>
      <c r="AG50" s="44">
        <v>43460</v>
      </c>
      <c r="AH50" s="87"/>
      <c r="AI50" s="224"/>
      <c r="AJ50" s="222"/>
      <c r="AK50" s="215"/>
      <c r="AL50" s="220"/>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c r="CX50" s="87"/>
      <c r="CY50" s="87"/>
      <c r="CZ50" s="87"/>
      <c r="DA50" s="87"/>
      <c r="DB50" s="87"/>
      <c r="DC50" s="87"/>
      <c r="DD50" s="87"/>
      <c r="DE50" s="87"/>
      <c r="DF50" s="87"/>
      <c r="DG50" s="87"/>
      <c r="DH50" s="87"/>
      <c r="DI50" s="87"/>
      <c r="DJ50" s="87"/>
      <c r="DK50" s="87"/>
      <c r="DL50" s="87"/>
      <c r="DM50" s="87"/>
      <c r="DN50" s="87"/>
      <c r="DO50" s="87"/>
      <c r="DP50" s="87"/>
      <c r="DQ50" s="87"/>
      <c r="DR50" s="87"/>
      <c r="DS50" s="87"/>
      <c r="DT50" s="87"/>
      <c r="DU50" s="87"/>
      <c r="DV50" s="87"/>
      <c r="DW50" s="87"/>
      <c r="DX50" s="87"/>
      <c r="DY50" s="87"/>
      <c r="DZ50" s="87"/>
      <c r="EA50" s="87"/>
      <c r="EB50" s="87"/>
      <c r="EC50" s="87"/>
      <c r="ED50" s="87"/>
      <c r="EE50" s="87"/>
      <c r="EF50" s="87"/>
      <c r="EG50" s="87"/>
      <c r="EH50" s="87"/>
      <c r="EI50" s="87"/>
      <c r="EJ50" s="87"/>
      <c r="EK50" s="87"/>
      <c r="EL50" s="87"/>
      <c r="EM50" s="87"/>
      <c r="EN50" s="87"/>
      <c r="EO50" s="87"/>
      <c r="EP50" s="87"/>
      <c r="EQ50" s="87"/>
    </row>
    <row r="51" spans="2:147" ht="15.75" x14ac:dyDescent="0.25">
      <c r="B51" s="318" t="s">
        <v>99</v>
      </c>
      <c r="D51" s="21"/>
      <c r="F51">
        <v>21</v>
      </c>
      <c r="G51" t="s">
        <v>219</v>
      </c>
      <c r="H51" t="s">
        <v>81</v>
      </c>
      <c r="N51" s="148">
        <f>N$4+44*7</f>
        <v>42858</v>
      </c>
      <c r="R51" s="87"/>
      <c r="U51" s="316" t="s">
        <v>104</v>
      </c>
      <c r="V51" s="313"/>
      <c r="W51" s="313"/>
      <c r="X51" s="3"/>
      <c r="Y51" s="21"/>
      <c r="Z51" s="87"/>
      <c r="AG51" s="3"/>
      <c r="AH51" s="87"/>
      <c r="AI51" s="224"/>
      <c r="AJ51" s="221"/>
      <c r="AK51" s="215"/>
      <c r="AL51" s="220"/>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c r="CX51" s="87"/>
      <c r="CY51" s="87"/>
      <c r="CZ51" s="87"/>
      <c r="DA51" s="87"/>
      <c r="DB51" s="87"/>
      <c r="DC51" s="87"/>
      <c r="DD51" s="87"/>
      <c r="DE51" s="87"/>
      <c r="DF51" s="87"/>
      <c r="DG51" s="87"/>
      <c r="DH51" s="87"/>
      <c r="DI51" s="87"/>
      <c r="DJ51" s="87"/>
      <c r="DK51" s="87"/>
      <c r="DL51" s="87"/>
      <c r="DM51" s="87"/>
      <c r="DN51" s="87"/>
      <c r="DO51" s="87"/>
      <c r="DP51" s="87"/>
      <c r="DQ51" s="87"/>
      <c r="DR51" s="87"/>
      <c r="DS51" s="87"/>
      <c r="DT51" s="87"/>
      <c r="DU51" s="87"/>
      <c r="DV51" s="87"/>
      <c r="DW51" s="87"/>
      <c r="DX51" s="87"/>
      <c r="DY51" s="87"/>
      <c r="DZ51" s="87"/>
      <c r="EA51" s="87"/>
      <c r="EB51" s="87"/>
      <c r="EC51" s="87"/>
      <c r="ED51" s="87"/>
      <c r="EE51" s="87"/>
      <c r="EF51" s="87"/>
      <c r="EG51" s="87"/>
      <c r="EH51" s="87"/>
      <c r="EI51" s="87"/>
      <c r="EJ51" s="87"/>
      <c r="EK51" s="87"/>
      <c r="EL51" s="87"/>
      <c r="EM51" s="87"/>
      <c r="EN51" s="87"/>
      <c r="EO51" s="87"/>
      <c r="EP51" s="87"/>
      <c r="EQ51" s="87"/>
    </row>
    <row r="52" spans="2:147" x14ac:dyDescent="0.25">
      <c r="B52" s="214">
        <v>1</v>
      </c>
      <c r="D52" s="21"/>
      <c r="G52" t="s">
        <v>219</v>
      </c>
      <c r="H52" t="s">
        <v>81</v>
      </c>
      <c r="I52" s="2">
        <v>21</v>
      </c>
      <c r="N52" s="149">
        <f>N$4+45*7</f>
        <v>42865</v>
      </c>
      <c r="R52" s="87"/>
      <c r="U52" s="355" t="s">
        <v>101</v>
      </c>
      <c r="V52" s="356"/>
      <c r="W52" s="356"/>
      <c r="X52" s="3"/>
      <c r="Y52" s="21"/>
      <c r="Z52" s="87"/>
      <c r="AG52" s="3"/>
      <c r="AH52" s="87"/>
      <c r="AI52" s="224"/>
      <c r="AJ52" s="221"/>
      <c r="AK52" s="215"/>
      <c r="AL52" s="220"/>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c r="CX52" s="87"/>
      <c r="CY52" s="87"/>
      <c r="CZ52" s="87"/>
      <c r="DA52" s="87"/>
      <c r="DB52" s="87"/>
      <c r="DC52" s="87"/>
      <c r="DD52" s="87"/>
      <c r="DE52" s="87"/>
      <c r="DF52" s="87"/>
      <c r="DG52" s="87"/>
      <c r="DH52" s="87"/>
      <c r="DI52" s="87"/>
      <c r="DJ52" s="87"/>
      <c r="DK52" s="87"/>
      <c r="DL52" s="87"/>
      <c r="DM52" s="87"/>
      <c r="DN52" s="87"/>
      <c r="DO52" s="87"/>
      <c r="DP52" s="87"/>
      <c r="DQ52" s="87"/>
      <c r="DR52" s="87"/>
      <c r="DS52" s="87"/>
      <c r="DT52" s="87"/>
      <c r="DU52" s="87"/>
      <c r="DV52" s="87"/>
      <c r="DW52" s="87"/>
      <c r="DX52" s="87"/>
      <c r="DY52" s="87"/>
      <c r="DZ52" s="87"/>
      <c r="EA52" s="87"/>
      <c r="EB52" s="87"/>
      <c r="EC52" s="87"/>
      <c r="ED52" s="87"/>
      <c r="EE52" s="87"/>
      <c r="EF52" s="87"/>
      <c r="EG52" s="87"/>
      <c r="EH52" s="87"/>
      <c r="EI52" s="87"/>
      <c r="EJ52" s="87"/>
      <c r="EK52" s="87"/>
      <c r="EL52" s="87"/>
      <c r="EM52" s="87"/>
      <c r="EN52" s="87"/>
      <c r="EO52" s="87"/>
      <c r="EP52" s="87"/>
      <c r="EQ52" s="87"/>
    </row>
    <row r="53" spans="2:147" x14ac:dyDescent="0.25">
      <c r="D53" s="21"/>
      <c r="F53">
        <v>12</v>
      </c>
      <c r="G53" t="s">
        <v>162</v>
      </c>
      <c r="H53" t="s">
        <v>2</v>
      </c>
      <c r="I53" s="2">
        <v>12</v>
      </c>
      <c r="N53" s="150">
        <f>N$4+46*7</f>
        <v>42872</v>
      </c>
      <c r="R53" s="87"/>
      <c r="U53" s="357" t="s">
        <v>102</v>
      </c>
      <c r="V53" s="356"/>
      <c r="W53" s="356"/>
      <c r="X53" s="3"/>
      <c r="Y53" s="21"/>
      <c r="Z53" s="87"/>
      <c r="AG53" s="3"/>
      <c r="AH53" s="87"/>
      <c r="AI53" s="224"/>
      <c r="AJ53" s="221"/>
      <c r="AK53" s="215"/>
      <c r="AL53" s="220"/>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87"/>
      <c r="DL53" s="87"/>
      <c r="DM53" s="87"/>
      <c r="DN53" s="87"/>
      <c r="DO53" s="87"/>
      <c r="DP53" s="87"/>
      <c r="DQ53" s="87"/>
      <c r="DR53" s="87"/>
      <c r="DS53" s="87"/>
      <c r="DT53" s="87"/>
      <c r="DU53" s="87"/>
      <c r="DV53" s="87"/>
      <c r="DW53" s="87"/>
      <c r="DX53" s="87"/>
      <c r="DY53" s="87"/>
      <c r="DZ53" s="87"/>
      <c r="EA53" s="87"/>
      <c r="EB53" s="87"/>
      <c r="EC53" s="87"/>
      <c r="ED53" s="87"/>
      <c r="EE53" s="87"/>
      <c r="EF53" s="87"/>
      <c r="EG53" s="87"/>
      <c r="EH53" s="87"/>
      <c r="EI53" s="87"/>
      <c r="EJ53" s="87"/>
      <c r="EK53" s="87"/>
      <c r="EL53" s="87"/>
      <c r="EM53" s="87"/>
      <c r="EN53" s="87"/>
      <c r="EO53" s="87"/>
      <c r="EP53" s="87"/>
      <c r="EQ53" s="87"/>
    </row>
    <row r="54" spans="2:147" ht="25.5" x14ac:dyDescent="0.25">
      <c r="B54" s="320" t="s">
        <v>107</v>
      </c>
      <c r="D54" s="21"/>
      <c r="F54" t="s">
        <v>206</v>
      </c>
      <c r="G54" t="s">
        <v>163</v>
      </c>
      <c r="H54" t="s">
        <v>1</v>
      </c>
      <c r="I54" s="2" t="s">
        <v>206</v>
      </c>
      <c r="N54" s="151">
        <f>N$4+47*7</f>
        <v>42879</v>
      </c>
      <c r="R54" s="87"/>
      <c r="U54" s="357" t="s">
        <v>103</v>
      </c>
      <c r="V54" s="356"/>
      <c r="W54" s="356"/>
      <c r="X54" s="3"/>
      <c r="Y54" s="21"/>
      <c r="Z54" s="87"/>
      <c r="AG54" s="3"/>
      <c r="AH54" s="87"/>
      <c r="AI54" s="224"/>
      <c r="AJ54" s="221"/>
      <c r="AK54" s="215"/>
      <c r="AL54" s="220"/>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c r="CX54" s="87"/>
      <c r="CY54" s="87"/>
      <c r="CZ54" s="87"/>
      <c r="DA54" s="87"/>
      <c r="DB54" s="87"/>
      <c r="DC54" s="87"/>
      <c r="DD54" s="87"/>
      <c r="DE54" s="87"/>
      <c r="DF54" s="87"/>
      <c r="DG54" s="87"/>
      <c r="DH54" s="87"/>
      <c r="DI54" s="87"/>
      <c r="DJ54" s="87"/>
      <c r="DK54" s="87"/>
      <c r="DL54" s="87"/>
      <c r="DM54" s="87"/>
      <c r="DN54" s="87"/>
      <c r="DO54" s="87"/>
      <c r="DP54" s="87"/>
      <c r="DQ54" s="87"/>
      <c r="DR54" s="87"/>
      <c r="DS54" s="87"/>
      <c r="DT54" s="87"/>
      <c r="DU54" s="87"/>
      <c r="DV54" s="87"/>
      <c r="DW54" s="87"/>
      <c r="DX54" s="87"/>
      <c r="DY54" s="87"/>
      <c r="DZ54" s="87"/>
      <c r="EA54" s="87"/>
      <c r="EB54" s="87"/>
      <c r="EC54" s="87"/>
      <c r="ED54" s="87"/>
      <c r="EE54" s="87"/>
      <c r="EF54" s="87"/>
      <c r="EG54" s="87"/>
      <c r="EH54" s="87"/>
      <c r="EI54" s="87"/>
      <c r="EJ54" s="87"/>
      <c r="EK54" s="87"/>
      <c r="EL54" s="87"/>
      <c r="EM54" s="87"/>
      <c r="EN54" s="87"/>
      <c r="EO54" s="87"/>
      <c r="EP54" s="87"/>
      <c r="EQ54" s="87"/>
    </row>
    <row r="55" spans="2:147" x14ac:dyDescent="0.25">
      <c r="B55" s="79">
        <v>0</v>
      </c>
      <c r="D55" s="21"/>
      <c r="F55">
        <v>11</v>
      </c>
      <c r="G55" t="s">
        <v>162</v>
      </c>
      <c r="H55" t="s">
        <v>2</v>
      </c>
      <c r="I55" s="2">
        <v>12</v>
      </c>
      <c r="N55" s="152">
        <f>N$4+48*7</f>
        <v>42886</v>
      </c>
      <c r="R55" s="87"/>
      <c r="U55" s="357"/>
      <c r="V55" s="356"/>
      <c r="W55" s="356"/>
      <c r="X55" s="3"/>
      <c r="Y55" s="21"/>
      <c r="Z55" s="87"/>
      <c r="AG55" s="3"/>
      <c r="AH55" s="87"/>
      <c r="AI55" s="224"/>
      <c r="AJ55" s="221"/>
      <c r="AK55" s="215"/>
      <c r="AL55" s="220"/>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c r="CX55" s="87"/>
      <c r="CY55" s="87"/>
      <c r="CZ55" s="87"/>
      <c r="DA55" s="87"/>
      <c r="DB55" s="87"/>
      <c r="DC55" s="87"/>
      <c r="DD55" s="87"/>
      <c r="DE55" s="87"/>
      <c r="DF55" s="87"/>
      <c r="DG55" s="87"/>
      <c r="DH55" s="87"/>
      <c r="DI55" s="87"/>
      <c r="DJ55" s="87"/>
      <c r="DK55" s="87"/>
      <c r="DL55" s="87"/>
      <c r="DM55" s="87"/>
      <c r="DN55" s="87"/>
      <c r="DO55" s="87"/>
      <c r="DP55" s="87"/>
      <c r="DQ55" s="87"/>
      <c r="DR55" s="87"/>
      <c r="DS55" s="87"/>
      <c r="DT55" s="87"/>
      <c r="DU55" s="87"/>
      <c r="DV55" s="87"/>
      <c r="DW55" s="87"/>
      <c r="DX55" s="87"/>
      <c r="DY55" s="87"/>
      <c r="DZ55" s="87"/>
      <c r="EA55" s="87"/>
      <c r="EB55" s="87"/>
      <c r="EC55" s="87"/>
      <c r="ED55" s="87"/>
      <c r="EE55" s="87"/>
      <c r="EF55" s="87"/>
      <c r="EG55" s="87"/>
      <c r="EH55" s="87"/>
      <c r="EI55" s="87"/>
      <c r="EJ55" s="87"/>
      <c r="EK55" s="87"/>
      <c r="EL55" s="87"/>
      <c r="EM55" s="87"/>
      <c r="EN55" s="87"/>
      <c r="EO55" s="87"/>
      <c r="EP55" s="87"/>
      <c r="EQ55" s="87"/>
    </row>
    <row r="56" spans="2:147" x14ac:dyDescent="0.25">
      <c r="D56" s="21"/>
      <c r="F56" t="s">
        <v>207</v>
      </c>
      <c r="G56" t="s">
        <v>208</v>
      </c>
      <c r="H56" t="s">
        <v>1</v>
      </c>
      <c r="I56" s="2" t="s">
        <v>207</v>
      </c>
      <c r="N56" s="153">
        <f>N$4+49*7</f>
        <v>42893</v>
      </c>
      <c r="R56" s="87"/>
      <c r="U56" s="357"/>
      <c r="V56" s="356"/>
      <c r="W56" s="356"/>
      <c r="X56" s="3"/>
      <c r="Y56" s="21"/>
      <c r="Z56" s="87"/>
      <c r="AG56" s="3"/>
      <c r="AH56" s="87"/>
      <c r="AI56" s="224"/>
      <c r="AJ56" s="221"/>
      <c r="AK56" s="215"/>
      <c r="AL56" s="220"/>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c r="CX56" s="87"/>
      <c r="CY56" s="87"/>
      <c r="CZ56" s="87"/>
      <c r="DA56" s="87"/>
      <c r="DB56" s="87"/>
      <c r="DC56" s="87"/>
      <c r="DD56" s="87"/>
      <c r="DE56" s="87"/>
      <c r="DF56" s="87"/>
      <c r="DG56" s="87"/>
      <c r="DH56" s="87"/>
      <c r="DI56" s="87"/>
      <c r="DJ56" s="87"/>
      <c r="DK56" s="87"/>
      <c r="DL56" s="87"/>
      <c r="DM56" s="87"/>
      <c r="DN56" s="87"/>
      <c r="DO56" s="87"/>
      <c r="DP56" s="87"/>
      <c r="DQ56" s="87"/>
      <c r="DR56" s="87"/>
      <c r="DS56" s="87"/>
      <c r="DT56" s="87"/>
      <c r="DU56" s="87"/>
      <c r="DV56" s="87"/>
      <c r="DW56" s="87"/>
      <c r="DX56" s="87"/>
      <c r="DY56" s="87"/>
      <c r="DZ56" s="87"/>
      <c r="EA56" s="87"/>
      <c r="EB56" s="87"/>
      <c r="EC56" s="87"/>
      <c r="ED56" s="87"/>
      <c r="EE56" s="87"/>
      <c r="EF56" s="87"/>
      <c r="EG56" s="87"/>
      <c r="EH56" s="87"/>
      <c r="EI56" s="87"/>
      <c r="EJ56" s="87"/>
      <c r="EK56" s="87"/>
      <c r="EL56" s="87"/>
      <c r="EM56" s="87"/>
      <c r="EN56" s="87"/>
      <c r="EO56" s="87"/>
      <c r="EP56" s="87"/>
      <c r="EQ56" s="87"/>
    </row>
    <row r="57" spans="2:147" ht="25.5" x14ac:dyDescent="0.25">
      <c r="B57" s="320" t="s">
        <v>161</v>
      </c>
      <c r="D57" s="21"/>
      <c r="F57">
        <v>7</v>
      </c>
      <c r="G57" t="s">
        <v>209</v>
      </c>
      <c r="H57" t="s">
        <v>2</v>
      </c>
      <c r="I57" s="2">
        <v>6</v>
      </c>
      <c r="N57" s="154">
        <f>N$4+50*7</f>
        <v>42900</v>
      </c>
      <c r="R57" s="87"/>
      <c r="U57" s="357"/>
      <c r="V57" s="356"/>
      <c r="W57" s="356"/>
      <c r="X57" s="3"/>
      <c r="Y57" s="21"/>
      <c r="Z57" s="87"/>
      <c r="AG57" s="3"/>
      <c r="AH57" s="87"/>
      <c r="AI57" s="225"/>
      <c r="AJ57" s="223"/>
      <c r="AK57" s="216"/>
      <c r="AL57" s="220"/>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c r="CX57" s="87"/>
      <c r="CY57" s="87"/>
      <c r="CZ57" s="87"/>
      <c r="DA57" s="87"/>
      <c r="DB57" s="87"/>
      <c r="DC57" s="87"/>
      <c r="DD57" s="87"/>
      <c r="DE57" s="87"/>
      <c r="DF57" s="87"/>
      <c r="DG57" s="87"/>
      <c r="DH57" s="87"/>
      <c r="DI57" s="87"/>
      <c r="DJ57" s="87"/>
      <c r="DK57" s="87"/>
      <c r="DL57" s="87"/>
      <c r="DM57" s="87"/>
      <c r="DN57" s="87"/>
      <c r="DO57" s="87"/>
      <c r="DP57" s="87"/>
      <c r="DQ57" s="87"/>
      <c r="DR57" s="87"/>
      <c r="DS57" s="87"/>
      <c r="DT57" s="87"/>
      <c r="DU57" s="87"/>
      <c r="DV57" s="87"/>
      <c r="DW57" s="87"/>
      <c r="DX57" s="87"/>
      <c r="DY57" s="87"/>
      <c r="DZ57" s="87"/>
      <c r="EA57" s="87"/>
      <c r="EB57" s="87"/>
      <c r="EC57" s="87"/>
      <c r="ED57" s="87"/>
      <c r="EE57" s="87"/>
      <c r="EF57" s="87"/>
      <c r="EG57" s="87"/>
      <c r="EH57" s="87"/>
      <c r="EI57" s="87"/>
      <c r="EJ57" s="87"/>
      <c r="EK57" s="87"/>
      <c r="EL57" s="87"/>
      <c r="EM57" s="87"/>
      <c r="EN57" s="87"/>
      <c r="EO57" s="87"/>
      <c r="EP57" s="87"/>
      <c r="EQ57" s="87"/>
    </row>
    <row r="58" spans="2:147" x14ac:dyDescent="0.25">
      <c r="B58" s="79">
        <v>0</v>
      </c>
      <c r="D58" s="21"/>
      <c r="F58">
        <v>7</v>
      </c>
      <c r="G58" t="s">
        <v>209</v>
      </c>
      <c r="H58" t="s">
        <v>2</v>
      </c>
      <c r="I58" s="2">
        <v>7</v>
      </c>
      <c r="N58" s="155">
        <f>N$4+51*7</f>
        <v>42907</v>
      </c>
      <c r="R58" s="87"/>
      <c r="U58" s="357"/>
      <c r="V58" s="356"/>
      <c r="W58" s="356"/>
      <c r="X58" s="3"/>
      <c r="Y58" s="21"/>
      <c r="Z58" s="87"/>
      <c r="AG58" s="3"/>
      <c r="AH58" s="87"/>
      <c r="AJ58" s="21"/>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c r="CX58" s="87"/>
      <c r="CY58" s="87"/>
      <c r="CZ58" s="87"/>
      <c r="DA58" s="87"/>
      <c r="DB58" s="87"/>
      <c r="DC58" s="87"/>
      <c r="DD58" s="87"/>
      <c r="DE58" s="87"/>
      <c r="DF58" s="87"/>
      <c r="DG58" s="87"/>
      <c r="DH58" s="87"/>
      <c r="DI58" s="87"/>
      <c r="DJ58" s="87"/>
      <c r="DK58" s="87"/>
      <c r="DL58" s="87"/>
      <c r="DM58" s="87"/>
      <c r="DN58" s="87"/>
      <c r="DO58" s="87"/>
      <c r="DP58" s="87"/>
      <c r="DQ58" s="87"/>
      <c r="DR58" s="87"/>
      <c r="DS58" s="87"/>
      <c r="DT58" s="87"/>
      <c r="DU58" s="87"/>
      <c r="DV58" s="87"/>
      <c r="DW58" s="87"/>
      <c r="DX58" s="87"/>
      <c r="DY58" s="87"/>
      <c r="DZ58" s="87"/>
      <c r="EA58" s="87"/>
      <c r="EB58" s="87"/>
      <c r="EC58" s="87"/>
      <c r="ED58" s="87"/>
      <c r="EE58" s="87"/>
      <c r="EF58" s="87"/>
      <c r="EG58" s="87"/>
      <c r="EH58" s="87"/>
      <c r="EI58" s="87"/>
      <c r="EJ58" s="87"/>
      <c r="EK58" s="87"/>
      <c r="EL58" s="87"/>
      <c r="EM58" s="87"/>
      <c r="EN58" s="87"/>
      <c r="EO58" s="87"/>
      <c r="EP58" s="87"/>
      <c r="EQ58" s="87"/>
    </row>
    <row r="59" spans="2:147" x14ac:dyDescent="0.25">
      <c r="D59" s="21"/>
      <c r="F59">
        <v>7</v>
      </c>
      <c r="G59" t="s">
        <v>209</v>
      </c>
      <c r="H59" t="s">
        <v>2</v>
      </c>
      <c r="I59" s="2">
        <v>7</v>
      </c>
      <c r="N59" s="156">
        <f>N$4+52*7</f>
        <v>42914</v>
      </c>
      <c r="R59" s="87"/>
      <c r="U59" s="357"/>
      <c r="V59" s="356"/>
      <c r="W59" s="356"/>
      <c r="X59" s="3"/>
      <c r="Y59" s="21"/>
      <c r="Z59" s="87"/>
      <c r="AG59" s="3"/>
      <c r="AH59" s="87"/>
      <c r="AJ59" s="21"/>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c r="CX59" s="87"/>
      <c r="CY59" s="87"/>
      <c r="CZ59" s="87"/>
      <c r="DA59" s="87"/>
      <c r="DB59" s="87"/>
      <c r="DC59" s="87"/>
      <c r="DD59" s="87"/>
      <c r="DE59" s="87"/>
      <c r="DF59" s="87"/>
      <c r="DG59" s="87"/>
      <c r="DH59" s="87"/>
      <c r="DI59" s="87"/>
      <c r="DJ59" s="87"/>
      <c r="DK59" s="87"/>
      <c r="DL59" s="87"/>
      <c r="DM59" s="87"/>
      <c r="DN59" s="87"/>
      <c r="DO59" s="87"/>
      <c r="DP59" s="87"/>
      <c r="DQ59" s="87"/>
      <c r="DR59" s="87"/>
      <c r="DS59" s="87"/>
      <c r="DT59" s="87"/>
      <c r="DU59" s="87"/>
      <c r="DV59" s="87"/>
      <c r="DW59" s="87"/>
      <c r="DX59" s="87"/>
      <c r="DY59" s="87"/>
      <c r="DZ59" s="87"/>
      <c r="EA59" s="87"/>
      <c r="EB59" s="87"/>
      <c r="EC59" s="87"/>
      <c r="ED59" s="87"/>
      <c r="EE59" s="87"/>
      <c r="EF59" s="87"/>
      <c r="EG59" s="87"/>
      <c r="EH59" s="87"/>
      <c r="EI59" s="87"/>
      <c r="EJ59" s="87"/>
      <c r="EK59" s="87"/>
      <c r="EL59" s="87"/>
      <c r="EM59" s="87"/>
      <c r="EN59" s="87"/>
      <c r="EO59" s="87"/>
      <c r="EP59" s="87"/>
      <c r="EQ59" s="87"/>
    </row>
    <row r="60" spans="2:147" x14ac:dyDescent="0.25">
      <c r="D60" s="21"/>
      <c r="F60">
        <v>1</v>
      </c>
      <c r="G60" t="s">
        <v>97</v>
      </c>
      <c r="H60" t="s">
        <v>2</v>
      </c>
      <c r="I60" s="2">
        <v>1</v>
      </c>
      <c r="N60" s="157">
        <f>N$4+53*7</f>
        <v>42921</v>
      </c>
      <c r="R60" s="87"/>
      <c r="U60" s="357"/>
      <c r="V60" s="356"/>
      <c r="W60" s="356"/>
      <c r="X60" s="3"/>
      <c r="Y60" s="21"/>
      <c r="Z60" s="87"/>
      <c r="AG60" s="3"/>
      <c r="AH60" s="87"/>
      <c r="AJ60" s="21"/>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7"/>
      <c r="DV60" s="87"/>
      <c r="DW60" s="87"/>
      <c r="DX60" s="87"/>
      <c r="DY60" s="87"/>
      <c r="DZ60" s="87"/>
      <c r="EA60" s="87"/>
      <c r="EB60" s="87"/>
      <c r="EC60" s="87"/>
      <c r="ED60" s="87"/>
      <c r="EE60" s="87"/>
      <c r="EF60" s="87"/>
      <c r="EG60" s="87"/>
      <c r="EH60" s="87"/>
      <c r="EI60" s="87"/>
      <c r="EJ60" s="87"/>
      <c r="EK60" s="87"/>
      <c r="EL60" s="87"/>
      <c r="EM60" s="87"/>
      <c r="EN60" s="87"/>
      <c r="EO60" s="87"/>
      <c r="EP60" s="87"/>
      <c r="EQ60" s="87"/>
    </row>
    <row r="61" spans="2:147" x14ac:dyDescent="0.25">
      <c r="D61" s="21"/>
      <c r="F61" t="s">
        <v>98</v>
      </c>
      <c r="G61" t="s">
        <v>97</v>
      </c>
      <c r="H61" t="s">
        <v>1</v>
      </c>
      <c r="I61" s="2" t="s">
        <v>98</v>
      </c>
      <c r="N61" s="158">
        <f>N$4+54*7</f>
        <v>42928</v>
      </c>
      <c r="R61" s="87"/>
      <c r="U61" s="357"/>
      <c r="V61" s="356"/>
      <c r="W61" s="356"/>
      <c r="X61" s="3"/>
      <c r="Y61" s="21"/>
      <c r="Z61" s="87"/>
      <c r="AG61" s="3"/>
      <c r="AH61" s="87"/>
      <c r="AJ61" s="21"/>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c r="CX61" s="87"/>
      <c r="CY61" s="87"/>
      <c r="CZ61" s="87"/>
      <c r="DA61" s="87"/>
      <c r="DB61" s="87"/>
      <c r="DC61" s="87"/>
      <c r="DD61" s="87"/>
      <c r="DE61" s="87"/>
      <c r="DF61" s="87"/>
      <c r="DG61" s="87"/>
      <c r="DH61" s="87"/>
      <c r="DI61" s="87"/>
      <c r="DJ61" s="87"/>
      <c r="DK61" s="87"/>
      <c r="DL61" s="87"/>
      <c r="DM61" s="87"/>
      <c r="DN61" s="87"/>
      <c r="DO61" s="87"/>
      <c r="DP61" s="87"/>
      <c r="DQ61" s="87"/>
      <c r="DR61" s="87"/>
      <c r="DS61" s="87"/>
      <c r="DT61" s="87"/>
      <c r="DU61" s="87"/>
      <c r="DV61" s="87"/>
      <c r="DW61" s="87"/>
      <c r="DX61" s="87"/>
      <c r="DY61" s="87"/>
      <c r="DZ61" s="87"/>
      <c r="EA61" s="87"/>
      <c r="EB61" s="87"/>
      <c r="EC61" s="87"/>
      <c r="ED61" s="87"/>
      <c r="EE61" s="87"/>
      <c r="EF61" s="87"/>
      <c r="EG61" s="87"/>
      <c r="EH61" s="87"/>
      <c r="EI61" s="87"/>
      <c r="EJ61" s="87"/>
      <c r="EK61" s="87"/>
      <c r="EL61" s="87"/>
      <c r="EM61" s="87"/>
      <c r="EN61" s="87"/>
      <c r="EO61" s="87"/>
      <c r="EP61" s="87"/>
      <c r="EQ61" s="87"/>
    </row>
    <row r="62" spans="2:147" x14ac:dyDescent="0.25">
      <c r="D62" s="21"/>
      <c r="F62" t="s">
        <v>92</v>
      </c>
      <c r="G62" t="s">
        <v>91</v>
      </c>
      <c r="H62" t="s">
        <v>1</v>
      </c>
      <c r="I62" s="2" t="s">
        <v>93</v>
      </c>
      <c r="N62" s="159">
        <f>N$4+55*7</f>
        <v>42935</v>
      </c>
      <c r="U62" s="21"/>
      <c r="V62" s="3"/>
      <c r="W62" s="21"/>
      <c r="X62" s="3"/>
      <c r="Y62" s="21"/>
      <c r="AG62" s="3"/>
      <c r="AJ62" s="21"/>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c r="CX62" s="87"/>
      <c r="CY62" s="87"/>
      <c r="CZ62" s="87"/>
      <c r="DA62" s="87"/>
      <c r="DB62" s="87"/>
      <c r="DC62" s="87"/>
      <c r="DD62" s="87"/>
      <c r="DE62" s="87"/>
      <c r="DF62" s="87"/>
      <c r="DG62" s="87"/>
      <c r="DH62" s="87"/>
      <c r="DI62" s="87"/>
      <c r="DJ62" s="87"/>
      <c r="DK62" s="87"/>
      <c r="DL62" s="87"/>
      <c r="DM62" s="87"/>
      <c r="DN62" s="87"/>
      <c r="DO62" s="87"/>
      <c r="DP62" s="87"/>
      <c r="DQ62" s="87"/>
      <c r="DR62" s="87"/>
      <c r="DS62" s="87"/>
      <c r="DT62" s="87"/>
      <c r="DU62" s="87"/>
      <c r="DV62" s="87"/>
      <c r="DW62" s="87"/>
      <c r="DX62" s="87"/>
      <c r="DY62" s="87"/>
      <c r="DZ62" s="87"/>
      <c r="EA62" s="87"/>
      <c r="EB62" s="87"/>
      <c r="EC62" s="87"/>
      <c r="ED62" s="87"/>
      <c r="EE62" s="87"/>
      <c r="EF62" s="87"/>
      <c r="EG62" s="87"/>
      <c r="EH62" s="87"/>
      <c r="EI62" s="87"/>
      <c r="EJ62" s="87"/>
      <c r="EK62" s="87"/>
      <c r="EL62" s="87"/>
      <c r="EM62" s="87"/>
      <c r="EN62" s="87"/>
      <c r="EO62" s="87"/>
      <c r="EP62" s="87"/>
      <c r="EQ62" s="87"/>
    </row>
    <row r="63" spans="2:147" x14ac:dyDescent="0.25">
      <c r="D63" s="21"/>
      <c r="F63" t="s">
        <v>94</v>
      </c>
      <c r="G63" t="s">
        <v>91</v>
      </c>
      <c r="H63" t="s">
        <v>1</v>
      </c>
      <c r="I63" s="2" t="s">
        <v>92</v>
      </c>
      <c r="N63" s="160">
        <f>N$4+46*7</f>
        <v>42872</v>
      </c>
      <c r="U63" s="21"/>
      <c r="V63" s="3"/>
      <c r="W63" s="21"/>
      <c r="X63" s="3"/>
      <c r="Y63" s="21"/>
      <c r="AG63" s="3"/>
      <c r="AJ63" s="21"/>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c r="CX63" s="87"/>
      <c r="CY63" s="87"/>
      <c r="CZ63" s="87"/>
      <c r="DA63" s="87"/>
      <c r="DB63" s="87"/>
      <c r="DC63" s="87"/>
      <c r="DD63" s="87"/>
      <c r="DE63" s="87"/>
      <c r="DF63" s="87"/>
      <c r="DG63" s="87"/>
      <c r="DH63" s="87"/>
      <c r="DI63" s="87"/>
      <c r="DJ63" s="87"/>
      <c r="DK63" s="87"/>
      <c r="DL63" s="87"/>
      <c r="DM63" s="87"/>
      <c r="DN63" s="87"/>
      <c r="DO63" s="87"/>
      <c r="DP63" s="87"/>
      <c r="DQ63" s="87"/>
      <c r="DR63" s="87"/>
      <c r="DS63" s="87"/>
      <c r="DT63" s="87"/>
      <c r="DU63" s="87"/>
      <c r="DV63" s="87"/>
      <c r="DW63" s="87"/>
      <c r="DX63" s="87"/>
      <c r="DY63" s="87"/>
      <c r="DZ63" s="87"/>
      <c r="EA63" s="87"/>
      <c r="EB63" s="87"/>
      <c r="EC63" s="87"/>
      <c r="ED63" s="87"/>
      <c r="EE63" s="87"/>
      <c r="EF63" s="87"/>
      <c r="EG63" s="87"/>
      <c r="EH63" s="87"/>
      <c r="EI63" s="87"/>
      <c r="EJ63" s="87"/>
      <c r="EK63" s="87"/>
      <c r="EL63" s="87"/>
      <c r="EM63" s="87"/>
      <c r="EN63" s="87"/>
      <c r="EO63" s="87"/>
      <c r="EP63" s="87"/>
      <c r="EQ63" s="87"/>
    </row>
    <row r="64" spans="2:147" ht="15.75" x14ac:dyDescent="0.25">
      <c r="D64" s="21"/>
      <c r="F64" t="s">
        <v>93</v>
      </c>
      <c r="G64" t="s">
        <v>91</v>
      </c>
      <c r="H64" t="s">
        <v>1</v>
      </c>
      <c r="I64" s="2" t="s">
        <v>94</v>
      </c>
      <c r="N64" s="161">
        <f>N$4+57*7</f>
        <v>42949</v>
      </c>
      <c r="U64" s="313"/>
      <c r="V64" s="313"/>
      <c r="W64" s="313"/>
      <c r="X64" s="3"/>
      <c r="Y64" s="21"/>
      <c r="AG64" s="3"/>
      <c r="AJ64" s="21"/>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c r="CX64" s="87"/>
      <c r="CY64" s="87"/>
      <c r="CZ64" s="87"/>
      <c r="DA64" s="87"/>
      <c r="DB64" s="87"/>
      <c r="DC64" s="87"/>
      <c r="DD64" s="87"/>
      <c r="DE64" s="87"/>
      <c r="DF64" s="87"/>
      <c r="DG64" s="87"/>
      <c r="DH64" s="87"/>
      <c r="DI64" s="87"/>
      <c r="DJ64" s="87"/>
      <c r="DK64" s="87"/>
      <c r="DL64" s="87"/>
      <c r="DM64" s="87"/>
      <c r="DN64" s="87"/>
      <c r="DO64" s="87"/>
      <c r="DP64" s="87"/>
      <c r="DQ64" s="87"/>
      <c r="DR64" s="87"/>
      <c r="DS64" s="87"/>
      <c r="DT64" s="87"/>
      <c r="DU64" s="87"/>
      <c r="DV64" s="87"/>
      <c r="DW64" s="87"/>
      <c r="DX64" s="87"/>
      <c r="DY64" s="87"/>
      <c r="DZ64" s="87"/>
      <c r="EA64" s="87"/>
      <c r="EB64" s="87"/>
      <c r="EC64" s="87"/>
      <c r="ED64" s="87"/>
      <c r="EE64" s="87"/>
      <c r="EF64" s="87"/>
      <c r="EG64" s="87"/>
      <c r="EH64" s="87"/>
      <c r="EI64" s="87"/>
      <c r="EJ64" s="87"/>
      <c r="EK64" s="87"/>
      <c r="EL64" s="87"/>
      <c r="EM64" s="87"/>
      <c r="EN64" s="87"/>
      <c r="EO64" s="87"/>
      <c r="EP64" s="87"/>
      <c r="EQ64" s="87"/>
    </row>
    <row r="65" spans="4:147" ht="15.75" x14ac:dyDescent="0.25">
      <c r="D65" s="21"/>
      <c r="F65">
        <v>3</v>
      </c>
      <c r="G65" t="s">
        <v>91</v>
      </c>
      <c r="H65" t="s">
        <v>2</v>
      </c>
      <c r="I65" s="2">
        <v>2</v>
      </c>
      <c r="N65" s="162">
        <f>N$4+58*7</f>
        <v>42956</v>
      </c>
      <c r="U65" s="316" t="s">
        <v>105</v>
      </c>
      <c r="V65" s="313"/>
      <c r="W65" s="313"/>
      <c r="X65" s="3"/>
      <c r="Y65" s="21"/>
      <c r="AG65" s="3"/>
      <c r="AJ65" s="21"/>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c r="CX65" s="87"/>
      <c r="CY65" s="87"/>
      <c r="CZ65" s="87"/>
      <c r="DA65" s="87"/>
      <c r="DB65" s="87"/>
      <c r="DC65" s="87"/>
      <c r="DD65" s="87"/>
      <c r="DE65" s="87"/>
      <c r="DF65" s="87"/>
      <c r="DG65" s="87"/>
      <c r="DH65" s="87"/>
      <c r="DI65" s="87"/>
      <c r="DJ65" s="87"/>
      <c r="DK65" s="87"/>
      <c r="DL65" s="87"/>
      <c r="DM65" s="87"/>
      <c r="DN65" s="87"/>
      <c r="DO65" s="87"/>
      <c r="DP65" s="87"/>
      <c r="DQ65" s="87"/>
      <c r="DR65" s="87"/>
      <c r="DS65" s="87"/>
      <c r="DT65" s="87"/>
      <c r="DU65" s="87"/>
      <c r="DV65" s="87"/>
      <c r="DW65" s="87"/>
      <c r="DX65" s="87"/>
      <c r="DY65" s="87"/>
      <c r="DZ65" s="87"/>
      <c r="EA65" s="87"/>
      <c r="EB65" s="87"/>
      <c r="EC65" s="87"/>
      <c r="ED65" s="87"/>
      <c r="EE65" s="87"/>
      <c r="EF65" s="87"/>
      <c r="EG65" s="87"/>
      <c r="EH65" s="87"/>
      <c r="EI65" s="87"/>
      <c r="EJ65" s="87"/>
      <c r="EK65" s="87"/>
      <c r="EL65" s="87"/>
      <c r="EM65" s="87"/>
      <c r="EN65" s="87"/>
      <c r="EO65" s="87"/>
      <c r="EP65" s="87"/>
      <c r="EQ65" s="87"/>
    </row>
    <row r="66" spans="4:147" x14ac:dyDescent="0.25">
      <c r="D66" s="21"/>
      <c r="F66">
        <v>2</v>
      </c>
      <c r="G66" t="s">
        <v>91</v>
      </c>
      <c r="H66" t="s">
        <v>2</v>
      </c>
      <c r="I66" s="2">
        <v>3</v>
      </c>
      <c r="N66" s="163">
        <f>N$4+59*7</f>
        <v>42963</v>
      </c>
      <c r="U66" s="355" t="s">
        <v>106</v>
      </c>
      <c r="V66" s="356"/>
      <c r="W66" s="356"/>
      <c r="X66" s="3"/>
      <c r="Y66" s="21"/>
      <c r="AG66" s="3"/>
      <c r="AJ66" s="21"/>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c r="CX66" s="87"/>
      <c r="CY66" s="87"/>
      <c r="CZ66" s="87"/>
      <c r="DA66" s="87"/>
      <c r="DB66" s="87"/>
      <c r="DC66" s="87"/>
      <c r="DD66" s="87"/>
      <c r="DE66" s="87"/>
      <c r="DF66" s="87"/>
      <c r="DG66" s="87"/>
      <c r="DH66" s="87"/>
      <c r="DI66" s="87"/>
      <c r="DJ66" s="87"/>
      <c r="DK66" s="87"/>
      <c r="DL66" s="87"/>
      <c r="DM66" s="87"/>
      <c r="DN66" s="87"/>
      <c r="DO66" s="87"/>
      <c r="DP66" s="87"/>
      <c r="DQ66" s="87"/>
      <c r="DR66" s="87"/>
      <c r="DS66" s="87"/>
      <c r="DT66" s="87"/>
      <c r="DU66" s="87"/>
      <c r="DV66" s="87"/>
      <c r="DW66" s="87"/>
      <c r="DX66" s="87"/>
      <c r="DY66" s="87"/>
      <c r="DZ66" s="87"/>
      <c r="EA66" s="87"/>
      <c r="EB66" s="87"/>
      <c r="EC66" s="87"/>
      <c r="ED66" s="87"/>
      <c r="EE66" s="87"/>
      <c r="EF66" s="87"/>
      <c r="EG66" s="87"/>
      <c r="EH66" s="87"/>
      <c r="EI66" s="87"/>
      <c r="EJ66" s="87"/>
      <c r="EK66" s="87"/>
      <c r="EL66" s="87"/>
      <c r="EM66" s="87"/>
      <c r="EN66" s="87"/>
      <c r="EO66" s="87"/>
      <c r="EP66" s="87"/>
      <c r="EQ66" s="87"/>
    </row>
    <row r="67" spans="4:147" x14ac:dyDescent="0.25">
      <c r="D67" s="21"/>
      <c r="F67" t="s">
        <v>93</v>
      </c>
      <c r="G67" t="s">
        <v>97</v>
      </c>
      <c r="H67" t="s">
        <v>1</v>
      </c>
      <c r="I67" s="2" t="s">
        <v>93</v>
      </c>
      <c r="N67" s="164">
        <f>N$4+60*7</f>
        <v>42970</v>
      </c>
      <c r="U67" s="357"/>
      <c r="V67" s="356"/>
      <c r="W67" s="356"/>
      <c r="X67" s="3"/>
      <c r="Y67" s="21"/>
      <c r="AG67" s="3"/>
      <c r="AJ67" s="21"/>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c r="CX67" s="87"/>
      <c r="CY67" s="87"/>
      <c r="CZ67" s="87"/>
      <c r="DA67" s="87"/>
      <c r="DB67" s="87"/>
      <c r="DC67" s="87"/>
      <c r="DD67" s="87"/>
      <c r="DE67" s="87"/>
      <c r="DF67" s="87"/>
      <c r="DG67" s="87"/>
      <c r="DH67" s="87"/>
      <c r="DI67" s="87"/>
      <c r="DJ67" s="87"/>
      <c r="DK67" s="87"/>
      <c r="DL67" s="87"/>
      <c r="DM67" s="87"/>
      <c r="DN67" s="87"/>
      <c r="DO67" s="87"/>
      <c r="DP67" s="87"/>
      <c r="DQ67" s="87"/>
      <c r="DR67" s="87"/>
      <c r="DS67" s="87"/>
      <c r="DT67" s="87"/>
      <c r="DU67" s="87"/>
      <c r="DV67" s="87"/>
      <c r="DW67" s="87"/>
      <c r="DX67" s="87"/>
      <c r="DY67" s="87"/>
      <c r="DZ67" s="87"/>
      <c r="EA67" s="87"/>
      <c r="EB67" s="87"/>
      <c r="EC67" s="87"/>
      <c r="ED67" s="87"/>
      <c r="EE67" s="87"/>
      <c r="EF67" s="87"/>
      <c r="EG67" s="87"/>
      <c r="EH67" s="87"/>
      <c r="EI67" s="87"/>
      <c r="EJ67" s="87"/>
      <c r="EK67" s="87"/>
      <c r="EL67" s="87"/>
      <c r="EM67" s="87"/>
      <c r="EN67" s="87"/>
      <c r="EO67" s="87"/>
      <c r="EP67" s="87"/>
      <c r="EQ67" s="87"/>
    </row>
    <row r="68" spans="4:147" x14ac:dyDescent="0.25">
      <c r="D68" s="21"/>
      <c r="F68" t="s">
        <v>92</v>
      </c>
      <c r="G68" t="s">
        <v>97</v>
      </c>
      <c r="H68" t="s">
        <v>1</v>
      </c>
      <c r="I68" s="2" t="s">
        <v>93</v>
      </c>
      <c r="N68" s="165">
        <f>N$4+61*7</f>
        <v>42977</v>
      </c>
      <c r="U68" s="357"/>
      <c r="V68" s="356"/>
      <c r="W68" s="356"/>
      <c r="X68" s="3"/>
      <c r="Y68" s="21"/>
      <c r="AG68" s="3"/>
      <c r="AJ68" s="21"/>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c r="CX68" s="87"/>
      <c r="CY68" s="87"/>
      <c r="CZ68" s="87"/>
      <c r="DA68" s="87"/>
      <c r="DB68" s="87"/>
      <c r="DC68" s="87"/>
      <c r="DD68" s="87"/>
      <c r="DE68" s="87"/>
      <c r="DF68" s="87"/>
      <c r="DG68" s="87"/>
      <c r="DH68" s="87"/>
      <c r="DI68" s="87"/>
      <c r="DJ68" s="87"/>
      <c r="DK68" s="87"/>
      <c r="DL68" s="87"/>
      <c r="DM68" s="87"/>
      <c r="DN68" s="87"/>
      <c r="DO68" s="87"/>
      <c r="DP68" s="87"/>
      <c r="DQ68" s="87"/>
      <c r="DR68" s="87"/>
      <c r="DS68" s="87"/>
      <c r="DT68" s="87"/>
      <c r="DU68" s="87"/>
      <c r="DV68" s="87"/>
      <c r="DW68" s="87"/>
      <c r="DX68" s="87"/>
      <c r="DY68" s="87"/>
      <c r="DZ68" s="87"/>
      <c r="EA68" s="87"/>
      <c r="EB68" s="87"/>
      <c r="EC68" s="87"/>
      <c r="ED68" s="87"/>
      <c r="EE68" s="87"/>
      <c r="EF68" s="87"/>
      <c r="EG68" s="87"/>
      <c r="EH68" s="87"/>
      <c r="EI68" s="87"/>
      <c r="EJ68" s="87"/>
      <c r="EK68" s="87"/>
      <c r="EL68" s="87"/>
      <c r="EM68" s="87"/>
      <c r="EN68" s="87"/>
      <c r="EO68" s="87"/>
      <c r="EP68" s="87"/>
      <c r="EQ68" s="87"/>
    </row>
    <row r="69" spans="4:147" x14ac:dyDescent="0.25">
      <c r="D69" s="21"/>
      <c r="F69" t="s">
        <v>93</v>
      </c>
      <c r="G69" t="s">
        <v>97</v>
      </c>
      <c r="H69" t="s">
        <v>1</v>
      </c>
      <c r="I69" s="2" t="s">
        <v>92</v>
      </c>
      <c r="N69" s="166">
        <f>N$4+62*7</f>
        <v>42984</v>
      </c>
      <c r="U69" s="357"/>
      <c r="V69" s="356"/>
      <c r="W69" s="356"/>
      <c r="X69" s="3"/>
      <c r="Y69" s="21"/>
      <c r="AG69" s="3"/>
      <c r="AJ69" s="21"/>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c r="CX69" s="87"/>
      <c r="CY69" s="87"/>
      <c r="CZ69" s="87"/>
      <c r="DA69" s="87"/>
      <c r="DB69" s="87"/>
      <c r="DC69" s="87"/>
      <c r="DD69" s="87"/>
      <c r="DE69" s="87"/>
      <c r="DF69" s="87"/>
      <c r="DG69" s="87"/>
      <c r="DH69" s="87"/>
      <c r="DI69" s="87"/>
      <c r="DJ69" s="87"/>
      <c r="DK69" s="87"/>
      <c r="DL69" s="87"/>
      <c r="DM69" s="87"/>
      <c r="DN69" s="87"/>
      <c r="DO69" s="87"/>
      <c r="DP69" s="87"/>
      <c r="DQ69" s="87"/>
      <c r="DR69" s="87"/>
      <c r="DS69" s="87"/>
      <c r="DT69" s="87"/>
      <c r="DU69" s="87"/>
      <c r="DV69" s="87"/>
      <c r="DW69" s="87"/>
      <c r="DX69" s="87"/>
      <c r="DY69" s="87"/>
      <c r="DZ69" s="87"/>
      <c r="EA69" s="87"/>
      <c r="EB69" s="87"/>
      <c r="EC69" s="87"/>
      <c r="ED69" s="87"/>
      <c r="EE69" s="87"/>
      <c r="EF69" s="87"/>
      <c r="EG69" s="87"/>
      <c r="EH69" s="87"/>
      <c r="EI69" s="87"/>
      <c r="EJ69" s="87"/>
      <c r="EK69" s="87"/>
      <c r="EL69" s="87"/>
      <c r="EM69" s="87"/>
      <c r="EN69" s="87"/>
      <c r="EO69" s="87"/>
      <c r="EP69" s="87"/>
      <c r="EQ69" s="87"/>
    </row>
    <row r="70" spans="4:147" x14ac:dyDescent="0.25">
      <c r="D70" s="21"/>
      <c r="F70" t="s">
        <v>92</v>
      </c>
      <c r="G70" t="s">
        <v>97</v>
      </c>
      <c r="H70" t="s">
        <v>1</v>
      </c>
      <c r="I70" s="2" t="s">
        <v>93</v>
      </c>
      <c r="N70" s="167">
        <f>N$4+63*7</f>
        <v>42991</v>
      </c>
      <c r="U70" s="357"/>
      <c r="V70" s="356"/>
      <c r="W70" s="356"/>
      <c r="X70" s="3"/>
      <c r="Y70" s="21"/>
      <c r="AG70" s="3"/>
      <c r="AJ70" s="21"/>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c r="CX70" s="87"/>
      <c r="CY70" s="87"/>
      <c r="CZ70" s="87"/>
      <c r="DA70" s="87"/>
      <c r="DB70" s="87"/>
      <c r="DC70" s="87"/>
      <c r="DD70" s="87"/>
      <c r="DE70" s="87"/>
      <c r="DF70" s="87"/>
      <c r="DG70" s="87"/>
      <c r="DH70" s="87"/>
      <c r="DI70" s="87"/>
      <c r="DJ70" s="87"/>
      <c r="DK70" s="87"/>
      <c r="DL70" s="87"/>
      <c r="DM70" s="87"/>
      <c r="DN70" s="87"/>
      <c r="DO70" s="87"/>
      <c r="DP70" s="87"/>
      <c r="DQ70" s="87"/>
      <c r="DR70" s="87"/>
      <c r="DS70" s="87"/>
      <c r="DT70" s="87"/>
      <c r="DU70" s="87"/>
      <c r="DV70" s="87"/>
      <c r="DW70" s="87"/>
      <c r="DX70" s="87"/>
      <c r="DY70" s="87"/>
      <c r="DZ70" s="87"/>
      <c r="EA70" s="87"/>
      <c r="EB70" s="87"/>
      <c r="EC70" s="87"/>
      <c r="ED70" s="87"/>
      <c r="EE70" s="87"/>
      <c r="EF70" s="87"/>
      <c r="EG70" s="87"/>
      <c r="EH70" s="87"/>
      <c r="EI70" s="87"/>
      <c r="EJ70" s="87"/>
      <c r="EK70" s="87"/>
      <c r="EL70" s="87"/>
      <c r="EM70" s="87"/>
      <c r="EN70" s="87"/>
      <c r="EO70" s="87"/>
      <c r="EP70" s="87"/>
      <c r="EQ70" s="87"/>
    </row>
    <row r="71" spans="4:147" x14ac:dyDescent="0.25">
      <c r="D71" s="21"/>
      <c r="F71" t="s">
        <v>93</v>
      </c>
      <c r="G71" t="s">
        <v>97</v>
      </c>
      <c r="H71" t="s">
        <v>1</v>
      </c>
      <c r="I71" s="2" t="s">
        <v>92</v>
      </c>
      <c r="N71" s="168">
        <f>N$4+64*7</f>
        <v>42998</v>
      </c>
      <c r="U71" s="21"/>
      <c r="V71" s="3"/>
      <c r="W71" s="21"/>
      <c r="X71" s="3"/>
      <c r="Y71" s="21"/>
      <c r="AG71" s="3"/>
      <c r="AJ71" s="21"/>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c r="CX71" s="87"/>
      <c r="CY71" s="87"/>
      <c r="CZ71" s="87"/>
      <c r="DA71" s="87"/>
      <c r="DB71" s="87"/>
      <c r="DC71" s="87"/>
      <c r="DD71" s="87"/>
      <c r="DE71" s="87"/>
      <c r="DF71" s="87"/>
      <c r="DG71" s="87"/>
      <c r="DH71" s="87"/>
      <c r="DI71" s="87"/>
      <c r="DJ71" s="87"/>
      <c r="DK71" s="87"/>
      <c r="DL71" s="87"/>
      <c r="DM71" s="87"/>
      <c r="DN71" s="87"/>
      <c r="DO71" s="87"/>
      <c r="DP71" s="87"/>
      <c r="DQ71" s="87"/>
      <c r="DR71" s="87"/>
      <c r="DS71" s="87"/>
      <c r="DT71" s="87"/>
      <c r="DU71" s="87"/>
      <c r="DV71" s="87"/>
      <c r="DW71" s="87"/>
      <c r="DX71" s="87"/>
      <c r="DY71" s="87"/>
      <c r="DZ71" s="87"/>
      <c r="EA71" s="87"/>
      <c r="EB71" s="87"/>
      <c r="EC71" s="87"/>
      <c r="ED71" s="87"/>
      <c r="EE71" s="87"/>
      <c r="EF71" s="87"/>
      <c r="EG71" s="87"/>
      <c r="EH71" s="87"/>
      <c r="EI71" s="87"/>
      <c r="EJ71" s="87"/>
      <c r="EK71" s="87"/>
      <c r="EL71" s="87"/>
      <c r="EM71" s="87"/>
      <c r="EN71" s="87"/>
      <c r="EO71" s="87"/>
      <c r="EP71" s="87"/>
      <c r="EQ71" s="87"/>
    </row>
    <row r="72" spans="4:147" x14ac:dyDescent="0.25">
      <c r="D72" s="21"/>
      <c r="F72" t="s">
        <v>92</v>
      </c>
      <c r="G72" t="s">
        <v>97</v>
      </c>
      <c r="H72" t="s">
        <v>1</v>
      </c>
      <c r="I72" s="2" t="s">
        <v>93</v>
      </c>
      <c r="N72" s="169">
        <f>N$4+65*7</f>
        <v>43005</v>
      </c>
      <c r="U72" s="21"/>
      <c r="V72" s="3"/>
      <c r="W72" s="21"/>
      <c r="X72" s="3"/>
      <c r="Y72" s="21"/>
      <c r="AG72" s="3"/>
      <c r="AJ72" s="21"/>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c r="CX72" s="87"/>
      <c r="CY72" s="87"/>
      <c r="CZ72" s="87"/>
      <c r="DA72" s="87"/>
      <c r="DB72" s="87"/>
      <c r="DC72" s="87"/>
      <c r="DD72" s="87"/>
      <c r="DE72" s="87"/>
      <c r="DF72" s="87"/>
      <c r="DG72" s="87"/>
      <c r="DH72" s="87"/>
      <c r="DI72" s="87"/>
      <c r="DJ72" s="87"/>
      <c r="DK72" s="87"/>
      <c r="DL72" s="87"/>
      <c r="DM72" s="87"/>
      <c r="DN72" s="87"/>
      <c r="DO72" s="87"/>
      <c r="DP72" s="87"/>
      <c r="DQ72" s="87"/>
      <c r="DR72" s="87"/>
      <c r="DS72" s="87"/>
      <c r="DT72" s="87"/>
      <c r="DU72" s="87"/>
      <c r="DV72" s="87"/>
      <c r="DW72" s="87"/>
      <c r="DX72" s="87"/>
      <c r="DY72" s="87"/>
      <c r="DZ72" s="87"/>
      <c r="EA72" s="87"/>
      <c r="EB72" s="87"/>
      <c r="EC72" s="87"/>
      <c r="ED72" s="87"/>
      <c r="EE72" s="87"/>
      <c r="EF72" s="87"/>
      <c r="EG72" s="87"/>
      <c r="EH72" s="87"/>
      <c r="EI72" s="87"/>
      <c r="EJ72" s="87"/>
      <c r="EK72" s="87"/>
      <c r="EL72" s="87"/>
      <c r="EM72" s="87"/>
      <c r="EN72" s="87"/>
      <c r="EO72" s="87"/>
      <c r="EP72" s="87"/>
      <c r="EQ72" s="87"/>
    </row>
    <row r="73" spans="4:147" x14ac:dyDescent="0.25">
      <c r="D73" s="21"/>
      <c r="F73" t="s">
        <v>93</v>
      </c>
      <c r="G73" t="s">
        <v>97</v>
      </c>
      <c r="H73" t="s">
        <v>1</v>
      </c>
      <c r="I73" s="2" t="s">
        <v>92</v>
      </c>
      <c r="N73" s="170">
        <f>N$4+66*7</f>
        <v>43012</v>
      </c>
      <c r="U73" s="21"/>
      <c r="V73" s="3"/>
      <c r="W73" s="21"/>
      <c r="X73" s="3"/>
      <c r="Y73" s="21"/>
      <c r="AG73" s="3"/>
      <c r="AJ73" s="21"/>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c r="CX73" s="87"/>
      <c r="CY73" s="87"/>
      <c r="CZ73" s="87"/>
      <c r="DA73" s="87"/>
      <c r="DB73" s="87"/>
      <c r="DC73" s="87"/>
      <c r="DD73" s="87"/>
      <c r="DE73" s="87"/>
      <c r="DF73" s="87"/>
      <c r="DG73" s="87"/>
      <c r="DH73" s="87"/>
      <c r="DI73" s="87"/>
      <c r="DJ73" s="87"/>
      <c r="DK73" s="87"/>
      <c r="DL73" s="87"/>
      <c r="DM73" s="87"/>
      <c r="DN73" s="87"/>
      <c r="DO73" s="87"/>
      <c r="DP73" s="87"/>
      <c r="DQ73" s="87"/>
      <c r="DR73" s="87"/>
      <c r="DS73" s="87"/>
      <c r="DT73" s="87"/>
      <c r="DU73" s="87"/>
      <c r="DV73" s="87"/>
      <c r="DW73" s="87"/>
      <c r="DX73" s="87"/>
      <c r="DY73" s="87"/>
      <c r="DZ73" s="87"/>
      <c r="EA73" s="87"/>
      <c r="EB73" s="87"/>
      <c r="EC73" s="87"/>
      <c r="ED73" s="87"/>
      <c r="EE73" s="87"/>
      <c r="EF73" s="87"/>
      <c r="EG73" s="87"/>
      <c r="EH73" s="87"/>
      <c r="EI73" s="87"/>
      <c r="EJ73" s="87"/>
      <c r="EK73" s="87"/>
      <c r="EL73" s="87"/>
      <c r="EM73" s="87"/>
      <c r="EN73" s="87"/>
      <c r="EO73" s="87"/>
      <c r="EP73" s="87"/>
      <c r="EQ73" s="87"/>
    </row>
    <row r="74" spans="4:147" x14ac:dyDescent="0.25">
      <c r="D74" s="21"/>
      <c r="F74" t="s">
        <v>92</v>
      </c>
      <c r="G74" t="s">
        <v>97</v>
      </c>
      <c r="H74" t="s">
        <v>1</v>
      </c>
      <c r="I74" s="2" t="s">
        <v>93</v>
      </c>
      <c r="N74" s="171">
        <f>N$4+67*7</f>
        <v>43019</v>
      </c>
      <c r="U74" s="21"/>
      <c r="V74" s="3"/>
      <c r="W74" s="21"/>
      <c r="X74" s="3"/>
      <c r="Y74" s="21"/>
      <c r="AG74" s="3"/>
      <c r="AJ74" s="21"/>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c r="CX74" s="87"/>
      <c r="CY74" s="87"/>
      <c r="CZ74" s="87"/>
      <c r="DA74" s="87"/>
      <c r="DB74" s="87"/>
      <c r="DC74" s="87"/>
      <c r="DD74" s="87"/>
      <c r="DE74" s="87"/>
      <c r="DF74" s="87"/>
      <c r="DG74" s="87"/>
      <c r="DH74" s="87"/>
      <c r="DI74" s="87"/>
      <c r="DJ74" s="87"/>
      <c r="DK74" s="87"/>
      <c r="DL74" s="87"/>
      <c r="DM74" s="87"/>
      <c r="DN74" s="87"/>
      <c r="DO74" s="87"/>
      <c r="DP74" s="87"/>
      <c r="DQ74" s="87"/>
      <c r="DR74" s="87"/>
      <c r="DS74" s="87"/>
      <c r="DT74" s="87"/>
      <c r="DU74" s="87"/>
      <c r="DV74" s="87"/>
      <c r="DW74" s="87"/>
      <c r="DX74" s="87"/>
      <c r="DY74" s="87"/>
      <c r="DZ74" s="87"/>
      <c r="EA74" s="87"/>
      <c r="EB74" s="87"/>
      <c r="EC74" s="87"/>
      <c r="ED74" s="87"/>
      <c r="EE74" s="87"/>
      <c r="EF74" s="87"/>
      <c r="EG74" s="87"/>
      <c r="EH74" s="87"/>
      <c r="EI74" s="87"/>
      <c r="EJ74" s="87"/>
      <c r="EK74" s="87"/>
      <c r="EL74" s="87"/>
      <c r="EM74" s="87"/>
      <c r="EN74" s="87"/>
      <c r="EO74" s="87"/>
      <c r="EP74" s="87"/>
      <c r="EQ74" s="87"/>
    </row>
    <row r="75" spans="4:147" x14ac:dyDescent="0.25">
      <c r="D75" s="21"/>
      <c r="F75" t="s">
        <v>93</v>
      </c>
      <c r="G75" t="s">
        <v>97</v>
      </c>
      <c r="H75" t="s">
        <v>1</v>
      </c>
      <c r="I75" s="2" t="s">
        <v>92</v>
      </c>
      <c r="N75" s="172">
        <f>N$4+68*7</f>
        <v>43026</v>
      </c>
      <c r="U75" s="21"/>
      <c r="V75" s="3"/>
      <c r="W75" s="21"/>
      <c r="X75" s="3"/>
      <c r="Y75" s="21"/>
      <c r="AG75" s="3"/>
      <c r="AJ75" s="21"/>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c r="CX75" s="87"/>
      <c r="CY75" s="87"/>
      <c r="CZ75" s="87"/>
      <c r="DA75" s="87"/>
      <c r="DB75" s="87"/>
      <c r="DC75" s="87"/>
      <c r="DD75" s="87"/>
      <c r="DE75" s="87"/>
      <c r="DF75" s="87"/>
      <c r="DG75" s="87"/>
      <c r="DH75" s="87"/>
      <c r="DI75" s="87"/>
      <c r="DJ75" s="87"/>
      <c r="DK75" s="87"/>
      <c r="DL75" s="87"/>
      <c r="DM75" s="87"/>
      <c r="DN75" s="87"/>
      <c r="DO75" s="87"/>
      <c r="DP75" s="87"/>
      <c r="DQ75" s="87"/>
      <c r="DR75" s="87"/>
      <c r="DS75" s="87"/>
      <c r="DT75" s="87"/>
      <c r="DU75" s="87"/>
      <c r="DV75" s="87"/>
      <c r="DW75" s="87"/>
      <c r="DX75" s="87"/>
      <c r="DY75" s="87"/>
      <c r="DZ75" s="87"/>
      <c r="EA75" s="87"/>
      <c r="EB75" s="87"/>
      <c r="EC75" s="87"/>
      <c r="ED75" s="87"/>
      <c r="EE75" s="87"/>
      <c r="EF75" s="87"/>
      <c r="EG75" s="87"/>
      <c r="EH75" s="87"/>
      <c r="EI75" s="87"/>
      <c r="EJ75" s="87"/>
      <c r="EK75" s="87"/>
      <c r="EL75" s="87"/>
      <c r="EM75" s="87"/>
      <c r="EN75" s="87"/>
      <c r="EO75" s="87"/>
      <c r="EP75" s="87"/>
      <c r="EQ75" s="87"/>
    </row>
    <row r="76" spans="4:147" x14ac:dyDescent="0.25">
      <c r="D76" s="21"/>
      <c r="F76" t="s">
        <v>92</v>
      </c>
      <c r="G76" t="s">
        <v>97</v>
      </c>
      <c r="H76" t="s">
        <v>1</v>
      </c>
      <c r="I76" s="2" t="s">
        <v>93</v>
      </c>
      <c r="N76" s="173">
        <f>N$4+69*7</f>
        <v>43033</v>
      </c>
      <c r="U76" s="21"/>
      <c r="V76" s="3"/>
      <c r="W76" s="21"/>
      <c r="X76" s="3"/>
      <c r="Y76" s="21"/>
      <c r="AG76" s="3"/>
      <c r="AJ76" s="21"/>
    </row>
    <row r="77" spans="4:147" x14ac:dyDescent="0.25">
      <c r="D77" s="21"/>
      <c r="F77" t="s">
        <v>93</v>
      </c>
      <c r="G77" t="s">
        <v>100</v>
      </c>
      <c r="H77" t="s">
        <v>1</v>
      </c>
      <c r="I77" s="2" t="s">
        <v>92</v>
      </c>
      <c r="N77" s="174">
        <f>N$4+70*7</f>
        <v>43040</v>
      </c>
      <c r="U77" s="21"/>
      <c r="V77" s="3"/>
      <c r="W77" s="21"/>
      <c r="X77" s="3"/>
      <c r="Y77" s="21"/>
      <c r="AG77" s="3"/>
      <c r="AJ77" s="21"/>
    </row>
    <row r="78" spans="4:147" x14ac:dyDescent="0.25">
      <c r="D78" s="21"/>
      <c r="F78" t="s">
        <v>92</v>
      </c>
      <c r="G78" t="s">
        <v>100</v>
      </c>
      <c r="H78" t="s">
        <v>1</v>
      </c>
      <c r="I78" s="2" t="s">
        <v>93</v>
      </c>
      <c r="N78" s="175">
        <f>N$4+71*7</f>
        <v>43047</v>
      </c>
      <c r="U78" s="21"/>
      <c r="V78" s="3"/>
      <c r="W78" s="21"/>
      <c r="X78" s="3"/>
      <c r="Y78" s="21"/>
      <c r="AG78" s="3"/>
      <c r="AJ78" s="21"/>
    </row>
    <row r="79" spans="4:147" x14ac:dyDescent="0.25">
      <c r="D79" s="21"/>
      <c r="F79" t="s">
        <v>93</v>
      </c>
      <c r="G79" t="s">
        <v>100</v>
      </c>
      <c r="H79" t="s">
        <v>1</v>
      </c>
      <c r="I79" s="2" t="s">
        <v>92</v>
      </c>
      <c r="N79" s="176">
        <f>N$4+72*7</f>
        <v>43054</v>
      </c>
      <c r="U79" s="21"/>
      <c r="V79" s="3"/>
      <c r="W79" s="21"/>
      <c r="X79" s="3"/>
      <c r="Y79" s="21"/>
      <c r="AG79" s="3"/>
      <c r="AJ79" s="21"/>
    </row>
    <row r="80" spans="4:147" x14ac:dyDescent="0.25">
      <c r="D80" s="21"/>
      <c r="F80">
        <v>5</v>
      </c>
      <c r="G80" t="s">
        <v>100</v>
      </c>
      <c r="H80" t="s">
        <v>81</v>
      </c>
      <c r="I80" s="2">
        <v>0</v>
      </c>
      <c r="N80" s="177">
        <f>N$4+73*7</f>
        <v>43061</v>
      </c>
      <c r="U80" s="21"/>
      <c r="V80" s="3"/>
      <c r="W80" s="21"/>
      <c r="X80" s="3"/>
      <c r="Y80" s="21"/>
      <c r="AG80" s="3"/>
      <c r="AJ80" s="21"/>
    </row>
    <row r="81" spans="4:36" x14ac:dyDescent="0.25">
      <c r="D81" s="21"/>
      <c r="F81" t="s">
        <v>92</v>
      </c>
      <c r="G81" t="s">
        <v>100</v>
      </c>
      <c r="H81" t="s">
        <v>1</v>
      </c>
      <c r="I81" s="2" t="s">
        <v>93</v>
      </c>
      <c r="N81" s="178">
        <f>N$4+74*7</f>
        <v>43068</v>
      </c>
      <c r="U81" s="21"/>
      <c r="V81" s="3"/>
      <c r="W81" s="21"/>
      <c r="X81" s="3"/>
      <c r="Y81" s="21"/>
      <c r="AG81" s="3"/>
      <c r="AJ81" s="21"/>
    </row>
    <row r="82" spans="4:36" x14ac:dyDescent="0.25">
      <c r="D82" s="21"/>
      <c r="F82" t="s">
        <v>93</v>
      </c>
      <c r="G82" t="s">
        <v>100</v>
      </c>
      <c r="H82" t="s">
        <v>1</v>
      </c>
      <c r="I82" s="2" t="s">
        <v>93</v>
      </c>
      <c r="N82" s="179">
        <f>N$4+75*7</f>
        <v>43075</v>
      </c>
      <c r="U82" s="21"/>
      <c r="V82" s="3"/>
      <c r="W82" s="21"/>
      <c r="X82" s="3"/>
      <c r="Y82" s="21"/>
      <c r="AG82" s="3"/>
      <c r="AJ82" s="21"/>
    </row>
    <row r="83" spans="4:36" x14ac:dyDescent="0.25">
      <c r="D83" s="21"/>
      <c r="N83" s="180">
        <f>N$4+76*7</f>
        <v>43082</v>
      </c>
      <c r="U83" s="21"/>
      <c r="V83" s="3"/>
      <c r="W83" s="21"/>
      <c r="X83" s="3"/>
      <c r="Y83" s="21"/>
      <c r="AG83" s="3"/>
      <c r="AJ83" s="21"/>
    </row>
    <row r="84" spans="4:36" x14ac:dyDescent="0.25">
      <c r="D84" s="21"/>
      <c r="N84" s="181">
        <f>N$4+77*7</f>
        <v>43089</v>
      </c>
      <c r="U84" s="21"/>
      <c r="V84" s="3"/>
      <c r="W84" s="21"/>
      <c r="X84" s="3"/>
      <c r="Y84" s="21"/>
      <c r="AG84" s="3"/>
      <c r="AJ84" s="21"/>
    </row>
    <row r="85" spans="4:36" x14ac:dyDescent="0.25">
      <c r="D85" s="21"/>
      <c r="N85" s="182">
        <f>N$4+78*7</f>
        <v>43096</v>
      </c>
      <c r="U85" s="21"/>
      <c r="V85" s="3"/>
      <c r="W85" s="21"/>
      <c r="X85" s="3"/>
      <c r="Y85" s="21"/>
      <c r="AG85" s="3"/>
      <c r="AJ85" s="21"/>
    </row>
    <row r="86" spans="4:36" x14ac:dyDescent="0.25">
      <c r="D86" s="21"/>
      <c r="N86" s="183">
        <f>N$4+79*7</f>
        <v>43103</v>
      </c>
      <c r="U86" s="21"/>
      <c r="V86" s="3"/>
      <c r="W86" s="21"/>
      <c r="X86" s="3"/>
      <c r="Y86" s="21"/>
      <c r="AG86" s="3"/>
      <c r="AJ86" s="21"/>
    </row>
    <row r="87" spans="4:36" x14ac:dyDescent="0.25">
      <c r="D87" s="21"/>
      <c r="N87" s="184">
        <f>N$4+80*7</f>
        <v>43110</v>
      </c>
      <c r="U87" s="21"/>
      <c r="V87" s="3"/>
      <c r="W87" s="21"/>
      <c r="X87" s="3"/>
      <c r="Y87" s="21"/>
      <c r="AG87" s="3"/>
      <c r="AJ87" s="21"/>
    </row>
    <row r="88" spans="4:36" x14ac:dyDescent="0.25">
      <c r="D88" s="21"/>
      <c r="N88" s="185">
        <f>N$4+81*7</f>
        <v>43117</v>
      </c>
      <c r="U88" s="21"/>
      <c r="V88" s="3"/>
      <c r="W88" s="21"/>
      <c r="X88" s="3"/>
      <c r="Y88" s="21"/>
      <c r="AG88" s="3"/>
      <c r="AJ88" s="21"/>
    </row>
    <row r="89" spans="4:36" x14ac:dyDescent="0.25">
      <c r="D89" s="21"/>
      <c r="N89" s="186">
        <f>N$4+82*7</f>
        <v>43124</v>
      </c>
      <c r="U89" s="21"/>
      <c r="V89" s="3"/>
      <c r="W89" s="21"/>
      <c r="X89" s="3"/>
      <c r="Y89" s="21"/>
      <c r="AG89" s="3"/>
      <c r="AJ89" s="21"/>
    </row>
    <row r="90" spans="4:36" x14ac:dyDescent="0.25">
      <c r="D90" s="21"/>
      <c r="N90" s="187">
        <f>N$4+83*7</f>
        <v>43131</v>
      </c>
      <c r="U90" s="21"/>
      <c r="V90" s="3"/>
      <c r="W90" s="21"/>
      <c r="X90" s="3"/>
      <c r="Y90" s="21"/>
      <c r="AG90" s="3"/>
      <c r="AJ90" s="21"/>
    </row>
    <row r="91" spans="4:36" x14ac:dyDescent="0.25">
      <c r="D91" s="21"/>
      <c r="N91" s="188">
        <f>N$4+84*7</f>
        <v>43138</v>
      </c>
      <c r="U91" s="21"/>
      <c r="V91" s="3"/>
      <c r="W91" s="21"/>
      <c r="X91" s="3"/>
      <c r="Y91" s="21"/>
      <c r="AG91" s="3"/>
      <c r="AJ91" s="21"/>
    </row>
    <row r="92" spans="4:36" x14ac:dyDescent="0.25">
      <c r="D92" s="21"/>
      <c r="N92" s="189">
        <f>N$4+85*7</f>
        <v>43145</v>
      </c>
      <c r="U92" s="21"/>
      <c r="V92" s="3"/>
      <c r="W92" s="21"/>
      <c r="X92" s="3"/>
      <c r="Y92" s="21"/>
      <c r="AG92" s="3"/>
      <c r="AJ92" s="21"/>
    </row>
    <row r="93" spans="4:36" x14ac:dyDescent="0.25">
      <c r="D93" s="21"/>
      <c r="N93" s="190">
        <f>N$4+86*7</f>
        <v>43152</v>
      </c>
      <c r="U93" s="21"/>
      <c r="V93" s="3"/>
      <c r="W93" s="21"/>
      <c r="X93" s="3"/>
      <c r="Y93" s="21"/>
      <c r="AG93" s="3"/>
      <c r="AJ93" s="21"/>
    </row>
    <row r="94" spans="4:36" x14ac:dyDescent="0.25">
      <c r="D94" s="21"/>
      <c r="N94" s="191">
        <f>N$4+87*7</f>
        <v>43159</v>
      </c>
      <c r="U94" s="21"/>
      <c r="V94" s="3"/>
      <c r="W94" s="21"/>
      <c r="X94" s="3"/>
      <c r="Y94" s="21"/>
      <c r="AG94" s="3"/>
      <c r="AJ94" s="21"/>
    </row>
    <row r="95" spans="4:36" x14ac:dyDescent="0.25">
      <c r="D95" s="21"/>
      <c r="N95" s="192">
        <f>N$4+88*7</f>
        <v>43166</v>
      </c>
      <c r="U95" s="21"/>
      <c r="V95" s="3"/>
      <c r="W95" s="21"/>
      <c r="X95" s="3"/>
      <c r="Y95" s="21"/>
      <c r="AG95" s="3"/>
      <c r="AJ95" s="21"/>
    </row>
    <row r="96" spans="4:36" x14ac:dyDescent="0.25">
      <c r="D96" s="21"/>
      <c r="N96" s="193">
        <f>N$4+89*7</f>
        <v>43173</v>
      </c>
      <c r="U96" s="21"/>
      <c r="V96" s="3"/>
      <c r="W96" s="21"/>
      <c r="X96" s="3"/>
      <c r="Y96" s="21"/>
      <c r="AG96" s="3"/>
      <c r="AJ96" s="21"/>
    </row>
    <row r="97" spans="4:36" x14ac:dyDescent="0.25">
      <c r="D97" s="21"/>
      <c r="N97" s="194">
        <f>N$4+90*7</f>
        <v>43180</v>
      </c>
      <c r="U97" s="21"/>
      <c r="V97" s="3"/>
      <c r="W97" s="21"/>
      <c r="X97" s="3"/>
      <c r="Y97" s="21"/>
      <c r="AG97" s="3"/>
      <c r="AJ97" s="21"/>
    </row>
    <row r="98" spans="4:36" x14ac:dyDescent="0.25">
      <c r="D98" s="21"/>
      <c r="N98" s="195">
        <f>N$4+91*7</f>
        <v>43187</v>
      </c>
      <c r="U98" s="21"/>
      <c r="V98" s="3"/>
      <c r="W98" s="21"/>
      <c r="X98" s="3"/>
      <c r="Y98" s="21"/>
      <c r="AG98" s="3"/>
      <c r="AJ98" s="21"/>
    </row>
    <row r="99" spans="4:36" x14ac:dyDescent="0.25">
      <c r="D99" s="21"/>
      <c r="N99" s="196">
        <f>N$4+92*7</f>
        <v>43194</v>
      </c>
      <c r="U99" s="21"/>
      <c r="V99" s="3"/>
      <c r="W99" s="21"/>
      <c r="X99" s="3"/>
      <c r="Y99" s="21"/>
      <c r="AG99" s="3"/>
      <c r="AJ99" s="21"/>
    </row>
    <row r="100" spans="4:36" x14ac:dyDescent="0.25">
      <c r="D100" s="21"/>
      <c r="N100" s="197">
        <f>N$4+93*7</f>
        <v>43201</v>
      </c>
      <c r="U100" s="21"/>
      <c r="V100" s="3"/>
      <c r="W100" s="21"/>
      <c r="X100" s="3"/>
      <c r="Y100" s="21"/>
      <c r="AG100" s="3"/>
      <c r="AJ100" s="21"/>
    </row>
    <row r="101" spans="4:36" x14ac:dyDescent="0.25">
      <c r="D101" s="21"/>
      <c r="N101" s="198">
        <f>N$4+94*7</f>
        <v>43208</v>
      </c>
      <c r="U101" s="21"/>
      <c r="V101" s="3"/>
      <c r="W101" s="21"/>
      <c r="X101" s="3"/>
      <c r="Y101" s="21"/>
      <c r="AG101" s="3"/>
      <c r="AJ101" s="21"/>
    </row>
    <row r="102" spans="4:36" x14ac:dyDescent="0.25">
      <c r="D102" s="21"/>
      <c r="N102" s="199">
        <f>N$4+95*7</f>
        <v>43215</v>
      </c>
      <c r="U102" s="21"/>
      <c r="V102" s="3"/>
      <c r="W102" s="21"/>
      <c r="X102" s="3"/>
      <c r="Y102" s="21"/>
      <c r="AG102" s="3"/>
      <c r="AJ102" s="21"/>
    </row>
    <row r="103" spans="4:36" x14ac:dyDescent="0.25">
      <c r="D103" s="21"/>
      <c r="N103" s="200">
        <f>N$4+96*7</f>
        <v>43222</v>
      </c>
      <c r="U103" s="21"/>
      <c r="V103" s="3"/>
      <c r="W103" s="21"/>
      <c r="X103" s="3"/>
      <c r="Y103" s="21"/>
      <c r="AG103" s="3"/>
      <c r="AJ103" s="21"/>
    </row>
    <row r="104" spans="4:36" x14ac:dyDescent="0.25">
      <c r="D104" s="21"/>
      <c r="N104" s="201">
        <f>N$4+97*7</f>
        <v>43229</v>
      </c>
      <c r="U104" s="21"/>
      <c r="V104" s="3"/>
      <c r="W104" s="21"/>
      <c r="X104" s="3"/>
      <c r="Y104" s="21"/>
      <c r="AG104" s="3"/>
      <c r="AJ104" s="21"/>
    </row>
    <row r="105" spans="4:36" x14ac:dyDescent="0.25">
      <c r="D105" s="21"/>
      <c r="N105" s="202">
        <f>N$4+98*7</f>
        <v>43236</v>
      </c>
      <c r="U105" s="21"/>
      <c r="V105" s="3"/>
      <c r="W105" s="21"/>
      <c r="X105" s="3"/>
      <c r="Y105" s="21"/>
      <c r="AG105" s="3"/>
      <c r="AJ105" s="21"/>
    </row>
    <row r="106" spans="4:36" x14ac:dyDescent="0.25">
      <c r="D106" s="21"/>
      <c r="N106" s="203">
        <f>N$4+99*7</f>
        <v>43243</v>
      </c>
      <c r="U106" s="21"/>
      <c r="V106" s="3"/>
      <c r="W106" s="21"/>
      <c r="X106" s="3"/>
      <c r="Y106" s="21"/>
      <c r="AG106" s="3"/>
      <c r="AJ106" s="21"/>
    </row>
    <row r="107" spans="4:36" x14ac:dyDescent="0.25">
      <c r="D107" s="21"/>
      <c r="N107" s="204">
        <f>N$4+100*7</f>
        <v>43250</v>
      </c>
      <c r="U107" s="21"/>
      <c r="V107" s="3"/>
      <c r="W107" s="21"/>
      <c r="X107" s="3"/>
      <c r="Y107" s="21"/>
      <c r="AG107" s="3"/>
      <c r="AJ107" s="21"/>
    </row>
    <row r="108" spans="4:36" x14ac:dyDescent="0.25">
      <c r="D108" s="21"/>
      <c r="N108" s="205">
        <f>N$4+101*7</f>
        <v>43257</v>
      </c>
      <c r="U108" s="21"/>
      <c r="V108" s="3"/>
      <c r="W108" s="21"/>
      <c r="X108" s="3"/>
      <c r="Y108" s="21"/>
      <c r="AG108" s="3"/>
      <c r="AJ108" s="21"/>
    </row>
    <row r="109" spans="4:36" x14ac:dyDescent="0.25">
      <c r="D109" s="21"/>
      <c r="N109" s="206">
        <f>N$4+102*7</f>
        <v>43264</v>
      </c>
      <c r="U109" s="21"/>
      <c r="V109" s="3"/>
      <c r="W109" s="21"/>
      <c r="X109" s="3"/>
      <c r="Y109" s="21"/>
      <c r="AG109" s="3"/>
      <c r="AJ109" s="21"/>
    </row>
    <row r="110" spans="4:36" x14ac:dyDescent="0.25">
      <c r="D110" s="21"/>
      <c r="N110" s="207">
        <f>N$4+103*7</f>
        <v>43271</v>
      </c>
      <c r="U110" s="21"/>
      <c r="V110" s="3"/>
      <c r="W110" s="21"/>
      <c r="X110" s="3"/>
      <c r="Y110" s="21"/>
      <c r="AG110" s="3"/>
      <c r="AJ110" s="21"/>
    </row>
    <row r="111" spans="4:36" x14ac:dyDescent="0.25">
      <c r="D111" s="21"/>
      <c r="N111" s="208">
        <f>N$4+104*7</f>
        <v>43278</v>
      </c>
      <c r="U111" s="21"/>
      <c r="V111" s="3"/>
      <c r="W111" s="21"/>
      <c r="X111" s="3"/>
      <c r="Y111" s="21"/>
      <c r="AG111" s="3"/>
      <c r="AJ111" s="21"/>
    </row>
    <row r="112" spans="4:36" x14ac:dyDescent="0.25">
      <c r="D112" s="21"/>
      <c r="N112" s="209">
        <f>N$4+105*7</f>
        <v>43285</v>
      </c>
      <c r="U112" s="21"/>
      <c r="V112" s="3"/>
      <c r="W112" s="21"/>
      <c r="X112" s="3"/>
      <c r="Y112" s="21"/>
      <c r="AG112" s="3"/>
      <c r="AJ112" s="21"/>
    </row>
    <row r="113" spans="4:36" x14ac:dyDescent="0.25">
      <c r="D113" s="21"/>
      <c r="N113" s="210">
        <f>N$4+106*7</f>
        <v>43292</v>
      </c>
      <c r="U113" s="21"/>
      <c r="V113" s="3"/>
      <c r="W113" s="21"/>
      <c r="X113" s="3"/>
      <c r="Y113" s="21"/>
      <c r="AG113" s="3"/>
      <c r="AJ113" s="21"/>
    </row>
    <row r="114" spans="4:36" x14ac:dyDescent="0.25">
      <c r="D114" s="21"/>
      <c r="N114" s="211">
        <f>N$4+107*7</f>
        <v>43299</v>
      </c>
      <c r="U114" s="21"/>
      <c r="V114" s="3"/>
      <c r="W114" s="21"/>
      <c r="X114" s="3"/>
      <c r="Y114" s="21"/>
      <c r="AG114" s="3"/>
      <c r="AJ114" s="21"/>
    </row>
    <row r="115" spans="4:36" x14ac:dyDescent="0.25">
      <c r="D115" s="21"/>
      <c r="N115" s="212">
        <f>N$4+108*7</f>
        <v>43306</v>
      </c>
      <c r="U115" s="21"/>
      <c r="V115" s="3"/>
      <c r="W115" s="21"/>
      <c r="X115" s="3"/>
      <c r="Y115" s="21"/>
      <c r="AG115" s="3"/>
      <c r="AJ115" s="21"/>
    </row>
    <row r="116" spans="4:36" x14ac:dyDescent="0.25">
      <c r="D116" s="21"/>
      <c r="N116" s="125"/>
      <c r="U116" s="21"/>
      <c r="V116" s="3"/>
      <c r="W116" s="21"/>
      <c r="X116" s="3"/>
      <c r="Y116" s="21"/>
      <c r="AG116" s="3"/>
      <c r="AJ116" s="21"/>
    </row>
    <row r="117" spans="4:36" x14ac:dyDescent="0.25">
      <c r="D117" s="21"/>
      <c r="U117" s="21"/>
      <c r="V117" s="3"/>
      <c r="W117" s="21"/>
      <c r="X117" s="3"/>
      <c r="Y117" s="21"/>
      <c r="AG117" s="3"/>
      <c r="AJ117" s="21"/>
    </row>
    <row r="118" spans="4:36" x14ac:dyDescent="0.25">
      <c r="D118" s="21"/>
      <c r="U118" s="21"/>
      <c r="V118" s="3"/>
      <c r="W118" s="21"/>
      <c r="X118" s="3"/>
      <c r="Y118" s="21"/>
      <c r="AG118" s="3"/>
      <c r="AJ118" s="21"/>
    </row>
    <row r="119" spans="4:36" x14ac:dyDescent="0.25">
      <c r="D119" s="21"/>
      <c r="U119" s="21"/>
      <c r="V119" s="3"/>
      <c r="W119" s="21"/>
      <c r="X119" s="3"/>
      <c r="Y119" s="21"/>
      <c r="AG119" s="3"/>
      <c r="AJ119" s="21"/>
    </row>
    <row r="120" spans="4:36" x14ac:dyDescent="0.25">
      <c r="D120" s="21"/>
      <c r="U120" s="21"/>
      <c r="V120" s="3"/>
      <c r="W120" s="21"/>
      <c r="X120" s="3"/>
      <c r="Y120" s="21"/>
      <c r="AG120" s="3"/>
      <c r="AJ120" s="21"/>
    </row>
    <row r="121" spans="4:36" x14ac:dyDescent="0.25">
      <c r="D121" s="21"/>
      <c r="U121" s="21"/>
      <c r="V121" s="3"/>
      <c r="W121" s="21"/>
      <c r="X121" s="3"/>
      <c r="Y121" s="21"/>
      <c r="AG121" s="3"/>
      <c r="AJ121" s="21"/>
    </row>
    <row r="122" spans="4:36" x14ac:dyDescent="0.25">
      <c r="D122" s="21"/>
      <c r="U122" s="21"/>
      <c r="V122" s="3"/>
      <c r="W122" s="21"/>
      <c r="X122" s="3"/>
      <c r="Y122" s="21"/>
      <c r="AG122" s="3"/>
      <c r="AJ122" s="21"/>
    </row>
    <row r="123" spans="4:36" x14ac:dyDescent="0.25">
      <c r="D123" s="21"/>
      <c r="U123" s="21"/>
      <c r="V123" s="3"/>
      <c r="W123" s="21"/>
      <c r="X123" s="3"/>
      <c r="Y123" s="21"/>
      <c r="AG123" s="3"/>
      <c r="AJ123" s="21"/>
    </row>
    <row r="124" spans="4:36" x14ac:dyDescent="0.25">
      <c r="D124" s="21"/>
      <c r="U124" s="21"/>
      <c r="V124" s="3"/>
      <c r="W124" s="21"/>
      <c r="X124" s="3"/>
      <c r="Y124" s="21"/>
      <c r="AG124" s="3"/>
      <c r="AJ124" s="21"/>
    </row>
    <row r="125" spans="4:36" x14ac:dyDescent="0.25">
      <c r="D125" s="21"/>
      <c r="U125" s="21"/>
      <c r="V125" s="3"/>
      <c r="W125" s="21"/>
      <c r="X125" s="3"/>
      <c r="Y125" s="21"/>
      <c r="AG125" s="3"/>
      <c r="AJ125" s="21"/>
    </row>
    <row r="126" spans="4:36" x14ac:dyDescent="0.25">
      <c r="D126" s="21"/>
      <c r="U126" s="21"/>
      <c r="V126" s="3"/>
      <c r="W126" s="21"/>
      <c r="X126" s="3"/>
      <c r="Y126" s="21"/>
      <c r="AG126" s="3"/>
      <c r="AJ126" s="21"/>
    </row>
    <row r="127" spans="4:36" x14ac:dyDescent="0.25">
      <c r="D127" s="21"/>
      <c r="U127" s="21"/>
      <c r="V127" s="3"/>
      <c r="W127" s="21"/>
      <c r="X127" s="3"/>
      <c r="Y127" s="21"/>
      <c r="AG127" s="3"/>
      <c r="AJ127" s="21"/>
    </row>
    <row r="128" spans="4:36" x14ac:dyDescent="0.25">
      <c r="D128" s="21"/>
      <c r="U128" s="21"/>
      <c r="V128" s="3"/>
      <c r="W128" s="21"/>
      <c r="X128" s="3"/>
      <c r="Y128" s="21"/>
      <c r="AG128" s="3"/>
      <c r="AJ128" s="21"/>
    </row>
    <row r="129" spans="21:33" x14ac:dyDescent="0.25">
      <c r="U129" s="3"/>
      <c r="V129" s="3"/>
      <c r="W129" s="3"/>
      <c r="X129" s="3"/>
      <c r="Y129" s="3"/>
      <c r="AG129" s="3"/>
    </row>
    <row r="130" spans="21:33" x14ac:dyDescent="0.25">
      <c r="U130" s="3"/>
      <c r="V130" s="3"/>
      <c r="W130" s="3"/>
      <c r="X130" s="3"/>
      <c r="Y130" s="3"/>
      <c r="AG130" s="3"/>
    </row>
    <row r="131" spans="21:33" x14ac:dyDescent="0.25">
      <c r="U131" s="3"/>
      <c r="V131" s="3"/>
      <c r="W131" s="3"/>
      <c r="X131" s="3"/>
      <c r="Y131" s="3"/>
      <c r="AG131" s="3"/>
    </row>
    <row r="132" spans="21:33" x14ac:dyDescent="0.25">
      <c r="U132" s="3"/>
      <c r="V132" s="3"/>
      <c r="W132" s="3"/>
      <c r="X132" s="3"/>
      <c r="Y132" s="3"/>
      <c r="AG132" s="3"/>
    </row>
    <row r="133" spans="21:33" x14ac:dyDescent="0.25">
      <c r="U133" s="3"/>
      <c r="V133" s="3"/>
      <c r="W133" s="3"/>
      <c r="X133" s="3"/>
      <c r="Y133" s="3"/>
      <c r="AG133" s="3"/>
    </row>
    <row r="134" spans="21:33" x14ac:dyDescent="0.25">
      <c r="U134" s="3"/>
      <c r="V134" s="3"/>
      <c r="W134" s="3"/>
      <c r="X134" s="3"/>
      <c r="Y134" s="3"/>
      <c r="AG134" s="3"/>
    </row>
    <row r="135" spans="21:33" x14ac:dyDescent="0.25">
      <c r="U135" s="3"/>
      <c r="V135" s="3"/>
      <c r="W135" s="3"/>
      <c r="X135" s="3"/>
      <c r="Y135" s="3"/>
      <c r="AG135" s="3"/>
    </row>
    <row r="136" spans="21:33" x14ac:dyDescent="0.25">
      <c r="U136" s="3"/>
      <c r="V136" s="3"/>
      <c r="W136" s="3"/>
      <c r="X136" s="3"/>
      <c r="Y136" s="3"/>
    </row>
    <row r="137" spans="21:33" x14ac:dyDescent="0.25">
      <c r="U137" s="3"/>
      <c r="V137" s="3"/>
      <c r="W137" s="3"/>
      <c r="X137" s="3"/>
      <c r="Y137" s="3"/>
    </row>
    <row r="138" spans="21:33" x14ac:dyDescent="0.25">
      <c r="U138" s="3"/>
      <c r="V138" s="3"/>
      <c r="W138" s="3"/>
      <c r="X138" s="3"/>
      <c r="Y138" s="3"/>
    </row>
    <row r="139" spans="21:33" x14ac:dyDescent="0.25">
      <c r="U139" s="3"/>
      <c r="V139" s="3"/>
      <c r="W139" s="3"/>
      <c r="X139" s="3"/>
      <c r="Y139" s="3"/>
    </row>
    <row r="140" spans="21:33" x14ac:dyDescent="0.25">
      <c r="U140" s="3"/>
      <c r="V140" s="3"/>
      <c r="W140" s="3"/>
      <c r="X140" s="3"/>
      <c r="Y140" s="3"/>
    </row>
    <row r="141" spans="21:33" x14ac:dyDescent="0.25">
      <c r="U141" s="3"/>
      <c r="V141" s="3"/>
      <c r="W141" s="3"/>
      <c r="X141" s="3"/>
      <c r="Y141" s="3"/>
    </row>
    <row r="142" spans="21:33" x14ac:dyDescent="0.25">
      <c r="U142" s="3"/>
      <c r="V142" s="3"/>
      <c r="W142" s="3"/>
      <c r="X142" s="3"/>
      <c r="Y142" s="3"/>
    </row>
    <row r="143" spans="21:33" x14ac:dyDescent="0.25">
      <c r="U143" s="3"/>
      <c r="V143" s="3"/>
      <c r="W143" s="3"/>
      <c r="X143" s="3"/>
      <c r="Y143" s="3"/>
    </row>
    <row r="144" spans="21:33" x14ac:dyDescent="0.25">
      <c r="U144" s="3"/>
      <c r="V144" s="3"/>
      <c r="W144" s="3"/>
      <c r="X144" s="3"/>
      <c r="Y144" s="3"/>
    </row>
    <row r="145" spans="21:25" x14ac:dyDescent="0.25">
      <c r="U145" s="3"/>
      <c r="V145" s="3"/>
      <c r="W145" s="3"/>
      <c r="X145" s="3"/>
      <c r="Y145" s="3"/>
    </row>
    <row r="146" spans="21:25" x14ac:dyDescent="0.25">
      <c r="U146" s="3"/>
      <c r="V146" s="3"/>
      <c r="W146" s="3"/>
      <c r="X146" s="3"/>
      <c r="Y146" s="3"/>
    </row>
    <row r="147" spans="21:25" x14ac:dyDescent="0.25">
      <c r="U147" s="3"/>
      <c r="V147" s="3"/>
      <c r="W147" s="3"/>
      <c r="X147" s="3"/>
      <c r="Y147" s="3"/>
    </row>
    <row r="148" spans="21:25" x14ac:dyDescent="0.25">
      <c r="U148" s="3"/>
      <c r="V148" s="3"/>
      <c r="W148" s="3"/>
      <c r="X148" s="3"/>
      <c r="Y148" s="3"/>
    </row>
    <row r="149" spans="21:25" x14ac:dyDescent="0.25">
      <c r="U149" s="3"/>
      <c r="V149" s="3"/>
      <c r="W149" s="3"/>
      <c r="X149" s="3"/>
      <c r="Y149" s="3"/>
    </row>
    <row r="150" spans="21:25" x14ac:dyDescent="0.25">
      <c r="U150" s="3"/>
      <c r="V150" s="3"/>
      <c r="W150" s="3"/>
      <c r="X150" s="3"/>
      <c r="Y150" s="3"/>
    </row>
    <row r="151" spans="21:25" x14ac:dyDescent="0.25">
      <c r="U151" s="3"/>
      <c r="V151" s="3"/>
      <c r="W151" s="3"/>
      <c r="X151" s="3"/>
      <c r="Y151" s="3"/>
    </row>
    <row r="152" spans="21:25" x14ac:dyDescent="0.25">
      <c r="U152" s="3"/>
      <c r="V152" s="3"/>
      <c r="W152" s="3"/>
      <c r="X152" s="3"/>
      <c r="Y152" s="3"/>
    </row>
    <row r="153" spans="21:25" x14ac:dyDescent="0.25">
      <c r="U153" s="3"/>
      <c r="V153" s="3"/>
      <c r="W153" s="3"/>
      <c r="X153" s="3"/>
      <c r="Y153" s="3"/>
    </row>
    <row r="154" spans="21:25" x14ac:dyDescent="0.25">
      <c r="U154" s="3"/>
      <c r="V154" s="3"/>
      <c r="W154" s="3"/>
      <c r="X154" s="3"/>
      <c r="Y154" s="3"/>
    </row>
    <row r="155" spans="21:25" x14ac:dyDescent="0.25">
      <c r="U155" s="3"/>
      <c r="V155" s="3"/>
      <c r="W155" s="3"/>
      <c r="X155" s="3"/>
      <c r="Y155" s="3"/>
    </row>
    <row r="156" spans="21:25" x14ac:dyDescent="0.25">
      <c r="U156" s="3"/>
      <c r="V156" s="3"/>
      <c r="W156" s="3"/>
      <c r="X156" s="3"/>
      <c r="Y156" s="3"/>
    </row>
    <row r="157" spans="21:25" x14ac:dyDescent="0.25">
      <c r="U157" s="3"/>
      <c r="V157" s="3"/>
      <c r="W157" s="3"/>
      <c r="X157" s="3"/>
      <c r="Y157" s="3"/>
    </row>
    <row r="158" spans="21:25" x14ac:dyDescent="0.25">
      <c r="U158" s="3"/>
      <c r="V158" s="3"/>
      <c r="W158" s="3"/>
      <c r="X158" s="3"/>
      <c r="Y158" s="3"/>
    </row>
    <row r="159" spans="21:25" x14ac:dyDescent="0.25">
      <c r="U159" s="3"/>
      <c r="V159" s="3"/>
      <c r="W159" s="3"/>
      <c r="X159" s="3"/>
      <c r="Y159" s="3"/>
    </row>
    <row r="160" spans="21:25" x14ac:dyDescent="0.25">
      <c r="U160" s="3"/>
      <c r="V160" s="3"/>
      <c r="W160" s="3"/>
      <c r="X160" s="3"/>
      <c r="Y160" s="3"/>
    </row>
    <row r="161" spans="21:25" x14ac:dyDescent="0.25">
      <c r="U161" s="3"/>
      <c r="V161" s="3"/>
      <c r="W161" s="3"/>
      <c r="X161" s="3"/>
      <c r="Y161" s="3"/>
    </row>
    <row r="162" spans="21:25" x14ac:dyDescent="0.25">
      <c r="U162" s="3"/>
      <c r="V162" s="3"/>
      <c r="W162" s="3"/>
      <c r="X162" s="3"/>
      <c r="Y162" s="3"/>
    </row>
    <row r="163" spans="21:25" x14ac:dyDescent="0.25">
      <c r="U163" s="3"/>
      <c r="V163" s="3"/>
      <c r="W163" s="3"/>
      <c r="X163" s="3"/>
      <c r="Y163" s="3"/>
    </row>
    <row r="164" spans="21:25" x14ac:dyDescent="0.25">
      <c r="U164" s="3"/>
      <c r="V164" s="3"/>
      <c r="W164" s="3"/>
      <c r="X164" s="3"/>
      <c r="Y164" s="3"/>
    </row>
    <row r="165" spans="21:25" x14ac:dyDescent="0.25">
      <c r="U165" s="3"/>
      <c r="V165" s="3"/>
      <c r="W165" s="3"/>
      <c r="X165" s="3"/>
      <c r="Y165" s="3"/>
    </row>
    <row r="166" spans="21:25" x14ac:dyDescent="0.25">
      <c r="U166" s="3"/>
      <c r="V166" s="3"/>
      <c r="W166" s="3"/>
      <c r="X166" s="3"/>
      <c r="Y166" s="3"/>
    </row>
    <row r="167" spans="21:25" x14ac:dyDescent="0.25">
      <c r="U167" s="3"/>
      <c r="V167" s="3"/>
      <c r="W167" s="3"/>
      <c r="X167" s="3"/>
      <c r="Y167" s="3"/>
    </row>
    <row r="185" spans="10:12" x14ac:dyDescent="0.25">
      <c r="J185"/>
      <c r="K185"/>
      <c r="L185"/>
    </row>
    <row r="186" spans="10:12" x14ac:dyDescent="0.25">
      <c r="J186"/>
      <c r="K186"/>
      <c r="L186"/>
    </row>
    <row r="187" spans="10:12" x14ac:dyDescent="0.25">
      <c r="J187"/>
      <c r="K187"/>
      <c r="L187"/>
    </row>
    <row r="188" spans="10:12" x14ac:dyDescent="0.25">
      <c r="J188"/>
      <c r="K188"/>
      <c r="L188"/>
    </row>
    <row r="189" spans="10:12" x14ac:dyDescent="0.25">
      <c r="J189"/>
      <c r="K189"/>
      <c r="L189"/>
    </row>
    <row r="190" spans="10:12" x14ac:dyDescent="0.25">
      <c r="J190"/>
      <c r="K190"/>
      <c r="L190"/>
    </row>
    <row r="191" spans="10:12" x14ac:dyDescent="0.25">
      <c r="J191"/>
      <c r="K191"/>
      <c r="L191"/>
    </row>
    <row r="192" spans="10:12" x14ac:dyDescent="0.25">
      <c r="J192"/>
      <c r="K192"/>
      <c r="L192"/>
    </row>
    <row r="193" spans="10:12" x14ac:dyDescent="0.25">
      <c r="J193"/>
      <c r="K193"/>
      <c r="L193"/>
    </row>
    <row r="194" spans="10:12" x14ac:dyDescent="0.25">
      <c r="J194"/>
      <c r="K194"/>
      <c r="L194"/>
    </row>
    <row r="195" spans="10:12" x14ac:dyDescent="0.25">
      <c r="J195"/>
      <c r="K195"/>
      <c r="L195"/>
    </row>
    <row r="196" spans="10:12" x14ac:dyDescent="0.25">
      <c r="J196"/>
      <c r="K196"/>
      <c r="L196"/>
    </row>
    <row r="197" spans="10:12" x14ac:dyDescent="0.25">
      <c r="J197"/>
      <c r="K197"/>
      <c r="L197"/>
    </row>
    <row r="198" spans="10:12" x14ac:dyDescent="0.25">
      <c r="J198"/>
      <c r="K198"/>
      <c r="L198"/>
    </row>
    <row r="199" spans="10:12" x14ac:dyDescent="0.25">
      <c r="J199"/>
      <c r="K199"/>
      <c r="L199"/>
    </row>
    <row r="200" spans="10:12" x14ac:dyDescent="0.25">
      <c r="J200"/>
      <c r="K200"/>
      <c r="L200"/>
    </row>
    <row r="201" spans="10:12" x14ac:dyDescent="0.25">
      <c r="J201"/>
      <c r="K201"/>
      <c r="L201"/>
    </row>
    <row r="202" spans="10:12" x14ac:dyDescent="0.25">
      <c r="J202"/>
      <c r="K202"/>
      <c r="L202"/>
    </row>
    <row r="203" spans="10:12" x14ac:dyDescent="0.25">
      <c r="J203"/>
      <c r="K203"/>
      <c r="L203"/>
    </row>
    <row r="204" spans="10:12" x14ac:dyDescent="0.25">
      <c r="J204"/>
      <c r="K204"/>
      <c r="L204"/>
    </row>
    <row r="205" spans="10:12" x14ac:dyDescent="0.25">
      <c r="J205"/>
      <c r="K205"/>
      <c r="L205"/>
    </row>
    <row r="206" spans="10:12" x14ac:dyDescent="0.25">
      <c r="J206"/>
      <c r="K206"/>
      <c r="L206"/>
    </row>
    <row r="207" spans="10:12" x14ac:dyDescent="0.25">
      <c r="J207"/>
      <c r="K207"/>
      <c r="L207"/>
    </row>
    <row r="208" spans="10:12" x14ac:dyDescent="0.25">
      <c r="J208"/>
      <c r="K208"/>
      <c r="L208"/>
    </row>
    <row r="209" spans="10:12" x14ac:dyDescent="0.25">
      <c r="J209"/>
      <c r="K209"/>
      <c r="L209"/>
    </row>
    <row r="210" spans="10:12" x14ac:dyDescent="0.25">
      <c r="J210"/>
      <c r="K210"/>
      <c r="L210"/>
    </row>
    <row r="211" spans="10:12" x14ac:dyDescent="0.25">
      <c r="J211"/>
      <c r="K211"/>
      <c r="L211"/>
    </row>
    <row r="212" spans="10:12" x14ac:dyDescent="0.25">
      <c r="J212"/>
      <c r="K212"/>
      <c r="L212"/>
    </row>
    <row r="213" spans="10:12" x14ac:dyDescent="0.25">
      <c r="J213"/>
      <c r="K213"/>
      <c r="L213"/>
    </row>
    <row r="214" spans="10:12" x14ac:dyDescent="0.25">
      <c r="J214"/>
      <c r="K214"/>
      <c r="L214"/>
    </row>
    <row r="215" spans="10:12" x14ac:dyDescent="0.25">
      <c r="J215"/>
      <c r="K215"/>
      <c r="L215"/>
    </row>
    <row r="216" spans="10:12" x14ac:dyDescent="0.25">
      <c r="J216"/>
      <c r="K216"/>
      <c r="L216"/>
    </row>
    <row r="217" spans="10:12" x14ac:dyDescent="0.25">
      <c r="J217"/>
      <c r="K217"/>
      <c r="L217"/>
    </row>
    <row r="218" spans="10:12" x14ac:dyDescent="0.25">
      <c r="J218"/>
      <c r="K218"/>
      <c r="L218"/>
    </row>
    <row r="219" spans="10:12" x14ac:dyDescent="0.25">
      <c r="J219"/>
      <c r="K219"/>
      <c r="L219"/>
    </row>
    <row r="220" spans="10:12" x14ac:dyDescent="0.25">
      <c r="J220"/>
      <c r="K220"/>
      <c r="L220"/>
    </row>
    <row r="221" spans="10:12" x14ac:dyDescent="0.25">
      <c r="J221"/>
      <c r="K221"/>
      <c r="L221"/>
    </row>
    <row r="222" spans="10:12" x14ac:dyDescent="0.25">
      <c r="J222"/>
      <c r="K222"/>
      <c r="L222"/>
    </row>
    <row r="223" spans="10:12" x14ac:dyDescent="0.25">
      <c r="J223"/>
      <c r="K223"/>
      <c r="L223"/>
    </row>
    <row r="224" spans="10:12" x14ac:dyDescent="0.25">
      <c r="J224"/>
      <c r="K224"/>
      <c r="L224"/>
    </row>
    <row r="225" spans="10:12" x14ac:dyDescent="0.25">
      <c r="J225"/>
      <c r="K225"/>
      <c r="L225"/>
    </row>
    <row r="226" spans="10:12" x14ac:dyDescent="0.25">
      <c r="J226"/>
      <c r="K226"/>
      <c r="L226"/>
    </row>
    <row r="227" spans="10:12" x14ac:dyDescent="0.25">
      <c r="J227"/>
      <c r="K227"/>
      <c r="L227"/>
    </row>
    <row r="228" spans="10:12" x14ac:dyDescent="0.25">
      <c r="J228"/>
      <c r="K228"/>
      <c r="L228"/>
    </row>
    <row r="229" spans="10:12" x14ac:dyDescent="0.25">
      <c r="J229"/>
      <c r="K229"/>
      <c r="L229"/>
    </row>
    <row r="230" spans="10:12" x14ac:dyDescent="0.25">
      <c r="J230"/>
      <c r="K230"/>
      <c r="L230"/>
    </row>
    <row r="231" spans="10:12" x14ac:dyDescent="0.25">
      <c r="J231"/>
      <c r="K231"/>
      <c r="L231"/>
    </row>
    <row r="232" spans="10:12" x14ac:dyDescent="0.25">
      <c r="J232"/>
      <c r="K232"/>
      <c r="L232"/>
    </row>
    <row r="233" spans="10:12" x14ac:dyDescent="0.25">
      <c r="J233"/>
      <c r="K233"/>
      <c r="L233"/>
    </row>
    <row r="234" spans="10:12" x14ac:dyDescent="0.25">
      <c r="J234"/>
      <c r="K234"/>
      <c r="L234"/>
    </row>
    <row r="235" spans="10:12" x14ac:dyDescent="0.25">
      <c r="J235"/>
      <c r="K235"/>
      <c r="L235"/>
    </row>
    <row r="236" spans="10:12" x14ac:dyDescent="0.25">
      <c r="J236"/>
      <c r="K236"/>
      <c r="L236"/>
    </row>
    <row r="237" spans="10:12" x14ac:dyDescent="0.25">
      <c r="J237"/>
      <c r="K237"/>
      <c r="L237"/>
    </row>
    <row r="238" spans="10:12" x14ac:dyDescent="0.25">
      <c r="J238"/>
      <c r="K238"/>
      <c r="L238"/>
    </row>
    <row r="239" spans="10:12" x14ac:dyDescent="0.25">
      <c r="J239"/>
      <c r="K239"/>
      <c r="L239"/>
    </row>
    <row r="240" spans="10:12" x14ac:dyDescent="0.25">
      <c r="J240"/>
      <c r="K240"/>
      <c r="L240"/>
    </row>
    <row r="241" spans="10:12" x14ac:dyDescent="0.25">
      <c r="J241"/>
      <c r="K241"/>
      <c r="L241"/>
    </row>
    <row r="242" spans="10:12" x14ac:dyDescent="0.25">
      <c r="J242"/>
      <c r="K242"/>
      <c r="L242"/>
    </row>
    <row r="243" spans="10:12" x14ac:dyDescent="0.25">
      <c r="J243"/>
      <c r="K243"/>
      <c r="L243"/>
    </row>
    <row r="244" spans="10:12" x14ac:dyDescent="0.25">
      <c r="J244"/>
      <c r="K244"/>
      <c r="L244"/>
    </row>
    <row r="245" spans="10:12" x14ac:dyDescent="0.25">
      <c r="J245"/>
      <c r="K245"/>
      <c r="L245"/>
    </row>
    <row r="246" spans="10:12" x14ac:dyDescent="0.25">
      <c r="J246"/>
      <c r="K246"/>
      <c r="L246"/>
    </row>
    <row r="247" spans="10:12" x14ac:dyDescent="0.25">
      <c r="J247"/>
      <c r="K247"/>
      <c r="L247"/>
    </row>
    <row r="248" spans="10:12" x14ac:dyDescent="0.25">
      <c r="J248"/>
      <c r="K248"/>
      <c r="L248"/>
    </row>
    <row r="249" spans="10:12" x14ac:dyDescent="0.25">
      <c r="J249"/>
      <c r="K249"/>
      <c r="L249"/>
    </row>
    <row r="250" spans="10:12" x14ac:dyDescent="0.25">
      <c r="J250"/>
      <c r="K250"/>
      <c r="L250"/>
    </row>
    <row r="251" spans="10:12" x14ac:dyDescent="0.25">
      <c r="J251"/>
      <c r="K251"/>
      <c r="L251"/>
    </row>
    <row r="252" spans="10:12" x14ac:dyDescent="0.25">
      <c r="J252"/>
      <c r="K252"/>
      <c r="L252"/>
    </row>
    <row r="253" spans="10:12" x14ac:dyDescent="0.25">
      <c r="J253"/>
      <c r="K253"/>
      <c r="L253"/>
    </row>
    <row r="254" spans="10:12" x14ac:dyDescent="0.25">
      <c r="J254"/>
      <c r="K254"/>
      <c r="L254"/>
    </row>
    <row r="255" spans="10:12" x14ac:dyDescent="0.25">
      <c r="J255"/>
      <c r="K255"/>
      <c r="L255"/>
    </row>
    <row r="256" spans="10:12" x14ac:dyDescent="0.25">
      <c r="J256"/>
      <c r="K256"/>
      <c r="L256"/>
    </row>
    <row r="257" spans="10:12" x14ac:dyDescent="0.25">
      <c r="J257"/>
      <c r="K257"/>
      <c r="L257"/>
    </row>
    <row r="258" spans="10:12" x14ac:dyDescent="0.25">
      <c r="J258"/>
      <c r="K258"/>
      <c r="L258"/>
    </row>
    <row r="259" spans="10:12" x14ac:dyDescent="0.25">
      <c r="J259"/>
      <c r="K259"/>
      <c r="L259"/>
    </row>
    <row r="260" spans="10:12" x14ac:dyDescent="0.25">
      <c r="J260"/>
      <c r="K260"/>
      <c r="L260"/>
    </row>
    <row r="261" spans="10:12" x14ac:dyDescent="0.25">
      <c r="J261"/>
      <c r="K261"/>
      <c r="L261"/>
    </row>
    <row r="262" spans="10:12" x14ac:dyDescent="0.25">
      <c r="J262"/>
      <c r="K262"/>
      <c r="L262"/>
    </row>
    <row r="263" spans="10:12" x14ac:dyDescent="0.25">
      <c r="J263"/>
      <c r="K263"/>
      <c r="L263"/>
    </row>
    <row r="264" spans="10:12" x14ac:dyDescent="0.25">
      <c r="J264"/>
      <c r="K264"/>
      <c r="L264"/>
    </row>
    <row r="265" spans="10:12" x14ac:dyDescent="0.25">
      <c r="J265"/>
      <c r="K265"/>
      <c r="L265"/>
    </row>
    <row r="266" spans="10:12" x14ac:dyDescent="0.25">
      <c r="J266"/>
      <c r="K266"/>
      <c r="L266"/>
    </row>
    <row r="267" spans="10:12" x14ac:dyDescent="0.25">
      <c r="J267"/>
      <c r="K267"/>
      <c r="L267"/>
    </row>
    <row r="268" spans="10:12" x14ac:dyDescent="0.25">
      <c r="J268"/>
      <c r="K268"/>
      <c r="L268"/>
    </row>
    <row r="269" spans="10:12" x14ac:dyDescent="0.25">
      <c r="J269"/>
      <c r="K269"/>
      <c r="L269"/>
    </row>
    <row r="270" spans="10:12" x14ac:dyDescent="0.25">
      <c r="J270"/>
      <c r="K270"/>
      <c r="L270"/>
    </row>
    <row r="271" spans="10:12" x14ac:dyDescent="0.25">
      <c r="J271"/>
      <c r="K271"/>
      <c r="L271"/>
    </row>
    <row r="272" spans="10:12" x14ac:dyDescent="0.25">
      <c r="J272"/>
      <c r="K272"/>
      <c r="L272"/>
    </row>
    <row r="273" spans="10:12" x14ac:dyDescent="0.25">
      <c r="J273"/>
      <c r="K273"/>
      <c r="L273"/>
    </row>
    <row r="274" spans="10:12" x14ac:dyDescent="0.25">
      <c r="J274"/>
      <c r="K274"/>
      <c r="L274"/>
    </row>
    <row r="275" spans="10:12" x14ac:dyDescent="0.25">
      <c r="J275"/>
      <c r="K275"/>
      <c r="L275"/>
    </row>
    <row r="276" spans="10:12" x14ac:dyDescent="0.25">
      <c r="J276"/>
      <c r="K276"/>
      <c r="L276"/>
    </row>
    <row r="277" spans="10:12" x14ac:dyDescent="0.25">
      <c r="J277"/>
      <c r="K277"/>
      <c r="L277"/>
    </row>
    <row r="278" spans="10:12" x14ac:dyDescent="0.25">
      <c r="J278"/>
      <c r="K278"/>
      <c r="L278"/>
    </row>
    <row r="279" spans="10:12" x14ac:dyDescent="0.25">
      <c r="J279"/>
      <c r="K279"/>
      <c r="L279"/>
    </row>
    <row r="280" spans="10:12" x14ac:dyDescent="0.25">
      <c r="J280"/>
      <c r="K280"/>
      <c r="L280"/>
    </row>
    <row r="281" spans="10:12" x14ac:dyDescent="0.25">
      <c r="J281"/>
      <c r="K281"/>
      <c r="L281"/>
    </row>
    <row r="282" spans="10:12" x14ac:dyDescent="0.25">
      <c r="J282"/>
      <c r="K282"/>
      <c r="L282"/>
    </row>
    <row r="283" spans="10:12" x14ac:dyDescent="0.25">
      <c r="J283"/>
      <c r="K283"/>
      <c r="L283"/>
    </row>
    <row r="284" spans="10:12" x14ac:dyDescent="0.25">
      <c r="J284"/>
      <c r="K284"/>
      <c r="L284"/>
    </row>
    <row r="285" spans="10:12" x14ac:dyDescent="0.25">
      <c r="J285"/>
      <c r="K285"/>
      <c r="L285"/>
    </row>
    <row r="286" spans="10:12" x14ac:dyDescent="0.25">
      <c r="J286"/>
      <c r="K286"/>
      <c r="L286"/>
    </row>
    <row r="287" spans="10:12" x14ac:dyDescent="0.25">
      <c r="J287"/>
      <c r="K287"/>
      <c r="L287"/>
    </row>
    <row r="288" spans="10:12" x14ac:dyDescent="0.25">
      <c r="J288"/>
      <c r="K288"/>
      <c r="L288"/>
    </row>
    <row r="289" spans="10:12" x14ac:dyDescent="0.25">
      <c r="J289"/>
      <c r="K289"/>
      <c r="L289"/>
    </row>
    <row r="290" spans="10:12" x14ac:dyDescent="0.25">
      <c r="J290"/>
      <c r="K290"/>
      <c r="L290"/>
    </row>
    <row r="291" spans="10:12" x14ac:dyDescent="0.25">
      <c r="J291"/>
      <c r="K291"/>
      <c r="L291"/>
    </row>
    <row r="292" spans="10:12" x14ac:dyDescent="0.25">
      <c r="J292"/>
      <c r="K292"/>
      <c r="L292"/>
    </row>
    <row r="293" spans="10:12" x14ac:dyDescent="0.25">
      <c r="J293"/>
      <c r="K293"/>
      <c r="L293"/>
    </row>
    <row r="294" spans="10:12" x14ac:dyDescent="0.25">
      <c r="J294"/>
      <c r="K294"/>
      <c r="L294"/>
    </row>
    <row r="295" spans="10:12" x14ac:dyDescent="0.25">
      <c r="J295"/>
      <c r="K295"/>
      <c r="L295"/>
    </row>
    <row r="296" spans="10:12" x14ac:dyDescent="0.25">
      <c r="J296"/>
      <c r="K296"/>
      <c r="L296"/>
    </row>
    <row r="297" spans="10:12" x14ac:dyDescent="0.25">
      <c r="J297"/>
      <c r="K297"/>
      <c r="L297"/>
    </row>
    <row r="298" spans="10:12" x14ac:dyDescent="0.25">
      <c r="J298"/>
      <c r="K298"/>
      <c r="L298"/>
    </row>
    <row r="299" spans="10:12" x14ac:dyDescent="0.25">
      <c r="J299"/>
      <c r="K299"/>
      <c r="L299"/>
    </row>
    <row r="300" spans="10:12" x14ac:dyDescent="0.25">
      <c r="J300"/>
      <c r="K300"/>
      <c r="L300"/>
    </row>
    <row r="301" spans="10:12" x14ac:dyDescent="0.25">
      <c r="J301"/>
      <c r="K301"/>
      <c r="L301"/>
    </row>
    <row r="302" spans="10:12" x14ac:dyDescent="0.25">
      <c r="J302"/>
      <c r="K302"/>
      <c r="L302"/>
    </row>
    <row r="303" spans="10:12" x14ac:dyDescent="0.25">
      <c r="J303"/>
      <c r="K303"/>
      <c r="L303"/>
    </row>
    <row r="304" spans="10:12" x14ac:dyDescent="0.25">
      <c r="J304"/>
      <c r="K304"/>
      <c r="L304"/>
    </row>
    <row r="305" spans="10:12" x14ac:dyDescent="0.25">
      <c r="J305"/>
      <c r="K305"/>
      <c r="L305"/>
    </row>
    <row r="306" spans="10:12" x14ac:dyDescent="0.25">
      <c r="J306"/>
      <c r="K306"/>
      <c r="L306"/>
    </row>
    <row r="307" spans="10:12" x14ac:dyDescent="0.25">
      <c r="J307"/>
      <c r="K307"/>
      <c r="L307"/>
    </row>
    <row r="308" spans="10:12" x14ac:dyDescent="0.25">
      <c r="J308"/>
      <c r="K308"/>
      <c r="L308"/>
    </row>
    <row r="309" spans="10:12" x14ac:dyDescent="0.25">
      <c r="J309"/>
      <c r="K309"/>
      <c r="L309"/>
    </row>
    <row r="310" spans="10:12" x14ac:dyDescent="0.25">
      <c r="J310"/>
      <c r="K310"/>
      <c r="L310"/>
    </row>
    <row r="311" spans="10:12" x14ac:dyDescent="0.25">
      <c r="J311"/>
      <c r="K311"/>
      <c r="L311"/>
    </row>
    <row r="312" spans="10:12" x14ac:dyDescent="0.25">
      <c r="J312"/>
      <c r="K312"/>
      <c r="L312"/>
    </row>
    <row r="313" spans="10:12" x14ac:dyDescent="0.25">
      <c r="J313"/>
      <c r="K313"/>
      <c r="L313"/>
    </row>
    <row r="314" spans="10:12" x14ac:dyDescent="0.25">
      <c r="J314"/>
      <c r="K314"/>
      <c r="L314"/>
    </row>
    <row r="315" spans="10:12" x14ac:dyDescent="0.25">
      <c r="J315"/>
      <c r="K315"/>
      <c r="L315"/>
    </row>
    <row r="316" spans="10:12" x14ac:dyDescent="0.25">
      <c r="J316"/>
      <c r="K316"/>
      <c r="L316"/>
    </row>
    <row r="317" spans="10:12" x14ac:dyDescent="0.25">
      <c r="J317"/>
      <c r="K317"/>
      <c r="L317"/>
    </row>
    <row r="318" spans="10:12" x14ac:dyDescent="0.25">
      <c r="J318"/>
      <c r="K318"/>
      <c r="L318"/>
    </row>
    <row r="319" spans="10:12" x14ac:dyDescent="0.25">
      <c r="J319"/>
      <c r="K319"/>
      <c r="L319"/>
    </row>
    <row r="320" spans="10:12" x14ac:dyDescent="0.25">
      <c r="J320"/>
      <c r="K320"/>
      <c r="L320"/>
    </row>
    <row r="321" spans="10:12" x14ac:dyDescent="0.25">
      <c r="J321"/>
      <c r="K321"/>
      <c r="L321"/>
    </row>
    <row r="322" spans="10:12" x14ac:dyDescent="0.25">
      <c r="J322"/>
      <c r="K322"/>
      <c r="L322"/>
    </row>
    <row r="323" spans="10:12" x14ac:dyDescent="0.25">
      <c r="J323"/>
      <c r="K323"/>
      <c r="L323"/>
    </row>
    <row r="324" spans="10:12" x14ac:dyDescent="0.25">
      <c r="J324"/>
      <c r="K324"/>
      <c r="L324"/>
    </row>
    <row r="325" spans="10:12" x14ac:dyDescent="0.25">
      <c r="J325"/>
      <c r="K325"/>
      <c r="L325"/>
    </row>
    <row r="326" spans="10:12" x14ac:dyDescent="0.25">
      <c r="J326"/>
      <c r="K326"/>
      <c r="L326"/>
    </row>
    <row r="327" spans="10:12" x14ac:dyDescent="0.25">
      <c r="J327"/>
      <c r="K327"/>
      <c r="L327"/>
    </row>
    <row r="328" spans="10:12" x14ac:dyDescent="0.25">
      <c r="J328"/>
      <c r="K328"/>
      <c r="L328"/>
    </row>
    <row r="329" spans="10:12" x14ac:dyDescent="0.25">
      <c r="J329"/>
      <c r="K329"/>
      <c r="L329"/>
    </row>
    <row r="330" spans="10:12" x14ac:dyDescent="0.25">
      <c r="J330"/>
      <c r="K330"/>
      <c r="L330"/>
    </row>
    <row r="331" spans="10:12" x14ac:dyDescent="0.25">
      <c r="J331"/>
      <c r="K331"/>
      <c r="L331"/>
    </row>
    <row r="332" spans="10:12" x14ac:dyDescent="0.25">
      <c r="J332"/>
      <c r="K332"/>
      <c r="L332"/>
    </row>
    <row r="333" spans="10:12" x14ac:dyDescent="0.25">
      <c r="J333"/>
      <c r="K333"/>
      <c r="L333"/>
    </row>
    <row r="334" spans="10:12" x14ac:dyDescent="0.25">
      <c r="J334"/>
      <c r="K334"/>
      <c r="L334"/>
    </row>
    <row r="335" spans="10:12" x14ac:dyDescent="0.25">
      <c r="J335"/>
      <c r="K335"/>
      <c r="L335"/>
    </row>
    <row r="336" spans="10:12" x14ac:dyDescent="0.25">
      <c r="J336"/>
      <c r="K336"/>
      <c r="L336"/>
    </row>
    <row r="337" spans="9:12" x14ac:dyDescent="0.25">
      <c r="J337"/>
      <c r="K337"/>
      <c r="L337"/>
    </row>
    <row r="338" spans="9:12" x14ac:dyDescent="0.25">
      <c r="J338"/>
      <c r="K338"/>
      <c r="L338"/>
    </row>
    <row r="339" spans="9:12" x14ac:dyDescent="0.25">
      <c r="J339"/>
      <c r="K339"/>
      <c r="L339"/>
    </row>
    <row r="340" spans="9:12" x14ac:dyDescent="0.25">
      <c r="J340"/>
      <c r="K340"/>
      <c r="L340"/>
    </row>
    <row r="341" spans="9:12" x14ac:dyDescent="0.25">
      <c r="J341"/>
      <c r="K341"/>
      <c r="L341"/>
    </row>
    <row r="342" spans="9:12" x14ac:dyDescent="0.25">
      <c r="J342"/>
      <c r="K342"/>
      <c r="L342"/>
    </row>
    <row r="343" spans="9:12" x14ac:dyDescent="0.25">
      <c r="J343"/>
      <c r="K343"/>
      <c r="L343"/>
    </row>
    <row r="344" spans="9:12" x14ac:dyDescent="0.25">
      <c r="J344"/>
      <c r="K344"/>
      <c r="L344"/>
    </row>
    <row r="345" spans="9:12" x14ac:dyDescent="0.25">
      <c r="J345"/>
      <c r="K345"/>
      <c r="L345"/>
    </row>
    <row r="346" spans="9:12" x14ac:dyDescent="0.25">
      <c r="J346"/>
      <c r="K346"/>
      <c r="L346"/>
    </row>
    <row r="347" spans="9:12" x14ac:dyDescent="0.25">
      <c r="J347"/>
      <c r="K347"/>
      <c r="L347"/>
    </row>
    <row r="348" spans="9:12" x14ac:dyDescent="0.25">
      <c r="I348" s="15" t="s">
        <v>61</v>
      </c>
      <c r="J348"/>
      <c r="K348"/>
      <c r="L348"/>
    </row>
    <row r="349" spans="9:12" x14ac:dyDescent="0.25">
      <c r="I349" s="15"/>
      <c r="J349"/>
      <c r="K349"/>
      <c r="L349"/>
    </row>
    <row r="350" spans="9:12" x14ac:dyDescent="0.25">
      <c r="I350" s="45" t="s">
        <v>18</v>
      </c>
      <c r="J350"/>
      <c r="K350"/>
      <c r="L350"/>
    </row>
    <row r="351" spans="9:12" x14ac:dyDescent="0.25">
      <c r="I351" s="46" t="s">
        <v>165</v>
      </c>
      <c r="J351"/>
      <c r="K351"/>
      <c r="L351"/>
    </row>
    <row r="352" spans="9:12" x14ac:dyDescent="0.25">
      <c r="I352" s="46" t="s">
        <v>166</v>
      </c>
      <c r="J352"/>
      <c r="K352"/>
      <c r="L352"/>
    </row>
    <row r="353" spans="9:12" x14ac:dyDescent="0.25">
      <c r="I353" s="46" t="s">
        <v>167</v>
      </c>
      <c r="J353"/>
      <c r="K353"/>
      <c r="L353"/>
    </row>
    <row r="354" spans="9:12" x14ac:dyDescent="0.25">
      <c r="I354" s="46" t="s">
        <v>168</v>
      </c>
      <c r="J354"/>
      <c r="K354"/>
      <c r="L354"/>
    </row>
    <row r="355" spans="9:12" x14ac:dyDescent="0.25">
      <c r="I355" s="46" t="s">
        <v>169</v>
      </c>
      <c r="J355"/>
      <c r="K355"/>
      <c r="L355"/>
    </row>
    <row r="356" spans="9:12" x14ac:dyDescent="0.25">
      <c r="I356" s="46" t="s">
        <v>170</v>
      </c>
      <c r="J356"/>
      <c r="K356"/>
      <c r="L356"/>
    </row>
    <row r="357" spans="9:12" x14ac:dyDescent="0.25">
      <c r="I357" s="46"/>
      <c r="J357"/>
      <c r="K357"/>
      <c r="L357"/>
    </row>
    <row r="358" spans="9:12" x14ac:dyDescent="0.25">
      <c r="I358" s="47" t="s">
        <v>187</v>
      </c>
      <c r="J358"/>
      <c r="K358"/>
      <c r="L358"/>
    </row>
    <row r="359" spans="9:12" x14ac:dyDescent="0.25">
      <c r="I359" s="48" t="s">
        <v>188</v>
      </c>
      <c r="J359"/>
      <c r="K359"/>
      <c r="L359"/>
    </row>
    <row r="360" spans="9:12" x14ac:dyDescent="0.25">
      <c r="I360" s="49" t="s">
        <v>189</v>
      </c>
      <c r="J360"/>
      <c r="K360"/>
      <c r="L360"/>
    </row>
    <row r="361" spans="9:12" x14ac:dyDescent="0.25">
      <c r="I361" s="50" t="s">
        <v>190</v>
      </c>
      <c r="J361"/>
      <c r="K361"/>
      <c r="L361"/>
    </row>
    <row r="362" spans="9:12" x14ac:dyDescent="0.25">
      <c r="I362" s="51" t="s">
        <v>191</v>
      </c>
      <c r="J362"/>
      <c r="K362"/>
      <c r="L362"/>
    </row>
    <row r="363" spans="9:12" x14ac:dyDescent="0.25">
      <c r="I363" s="52" t="s">
        <v>192</v>
      </c>
      <c r="J363"/>
      <c r="K363"/>
      <c r="L363"/>
    </row>
    <row r="364" spans="9:12" x14ac:dyDescent="0.25">
      <c r="I364" s="53" t="s">
        <v>193</v>
      </c>
      <c r="J364"/>
      <c r="K364"/>
      <c r="L364"/>
    </row>
    <row r="365" spans="9:12" x14ac:dyDescent="0.25">
      <c r="I365" s="54" t="s">
        <v>194</v>
      </c>
      <c r="J365"/>
      <c r="K365"/>
      <c r="L365"/>
    </row>
    <row r="366" spans="9:12" x14ac:dyDescent="0.25">
      <c r="I366" s="55" t="s">
        <v>195</v>
      </c>
      <c r="J366"/>
      <c r="K366"/>
      <c r="L366"/>
    </row>
    <row r="367" spans="9:12" x14ac:dyDescent="0.25">
      <c r="I367" s="56" t="s">
        <v>196</v>
      </c>
      <c r="J367"/>
      <c r="K367"/>
      <c r="L367"/>
    </row>
    <row r="368" spans="9:12" x14ac:dyDescent="0.25">
      <c r="I368" s="57" t="s">
        <v>197</v>
      </c>
      <c r="J368"/>
      <c r="K368"/>
      <c r="L368"/>
    </row>
    <row r="369" spans="9:12" x14ac:dyDescent="0.25">
      <c r="I369" s="58" t="s">
        <v>198</v>
      </c>
      <c r="J369"/>
      <c r="K369"/>
      <c r="L369"/>
    </row>
    <row r="370" spans="9:12" x14ac:dyDescent="0.25">
      <c r="I370" s="59" t="s">
        <v>199</v>
      </c>
      <c r="J370"/>
      <c r="K370"/>
      <c r="L370"/>
    </row>
    <row r="371" spans="9:12" x14ac:dyDescent="0.25">
      <c r="I371" s="60" t="s">
        <v>200</v>
      </c>
      <c r="J371"/>
      <c r="K371"/>
      <c r="L371"/>
    </row>
    <row r="372" spans="9:12" x14ac:dyDescent="0.25">
      <c r="I372" s="61" t="s">
        <v>201</v>
      </c>
      <c r="J372"/>
      <c r="K372"/>
      <c r="L372"/>
    </row>
    <row r="373" spans="9:12" x14ac:dyDescent="0.25">
      <c r="I373" s="62" t="s">
        <v>202</v>
      </c>
      <c r="J373"/>
      <c r="K373"/>
      <c r="L373"/>
    </row>
    <row r="374" spans="9:12" x14ac:dyDescent="0.25">
      <c r="I374" s="63"/>
      <c r="J374"/>
      <c r="K374"/>
      <c r="L374"/>
    </row>
    <row r="375" spans="9:12" x14ac:dyDescent="0.25">
      <c r="I375" s="63"/>
      <c r="J375"/>
      <c r="K375"/>
      <c r="L375"/>
    </row>
    <row r="376" spans="9:12" x14ac:dyDescent="0.25">
      <c r="I376" s="63"/>
      <c r="J376"/>
      <c r="K376"/>
      <c r="L376"/>
    </row>
    <row r="377" spans="9:12" x14ac:dyDescent="0.25">
      <c r="I377" s="63"/>
      <c r="J377"/>
      <c r="K377"/>
      <c r="L377"/>
    </row>
    <row r="378" spans="9:12" x14ac:dyDescent="0.25">
      <c r="I378" s="63"/>
      <c r="J378"/>
      <c r="K378"/>
      <c r="L378"/>
    </row>
    <row r="379" spans="9:12" x14ac:dyDescent="0.25">
      <c r="I379" s="63"/>
      <c r="J379"/>
      <c r="K379"/>
      <c r="L379"/>
    </row>
    <row r="380" spans="9:12" x14ac:dyDescent="0.25">
      <c r="I380" s="63"/>
      <c r="J380"/>
      <c r="K380"/>
      <c r="L380"/>
    </row>
    <row r="381" spans="9:12" x14ac:dyDescent="0.25">
      <c r="I381" s="63"/>
      <c r="J381"/>
      <c r="K381"/>
      <c r="L381"/>
    </row>
    <row r="382" spans="9:12" x14ac:dyDescent="0.25">
      <c r="I382" s="63"/>
      <c r="J382"/>
      <c r="K382"/>
      <c r="L382"/>
    </row>
    <row r="383" spans="9:12" x14ac:dyDescent="0.25">
      <c r="I383" s="63"/>
      <c r="J383"/>
      <c r="K383"/>
      <c r="L383"/>
    </row>
    <row r="384" spans="9:12" x14ac:dyDescent="0.25">
      <c r="I384" s="63"/>
      <c r="J384"/>
      <c r="K384"/>
      <c r="L384"/>
    </row>
    <row r="385" spans="9:12" x14ac:dyDescent="0.25">
      <c r="I385" s="63"/>
      <c r="J385"/>
      <c r="K385"/>
      <c r="L385"/>
    </row>
    <row r="386" spans="9:12" x14ac:dyDescent="0.25">
      <c r="I386" s="63"/>
      <c r="J386"/>
      <c r="K386"/>
      <c r="L386"/>
    </row>
    <row r="387" spans="9:12" x14ac:dyDescent="0.25">
      <c r="I387" s="64"/>
      <c r="J387"/>
      <c r="K387"/>
      <c r="L387"/>
    </row>
    <row r="388" spans="9:12" x14ac:dyDescent="0.25">
      <c r="J388"/>
      <c r="K388"/>
      <c r="L388"/>
    </row>
    <row r="389" spans="9:12" x14ac:dyDescent="0.25">
      <c r="J389"/>
      <c r="K389"/>
      <c r="L389"/>
    </row>
    <row r="390" spans="9:12" x14ac:dyDescent="0.25">
      <c r="J390"/>
      <c r="K390"/>
      <c r="L390"/>
    </row>
    <row r="391" spans="9:12" x14ac:dyDescent="0.25">
      <c r="J391"/>
      <c r="K391"/>
      <c r="L391"/>
    </row>
    <row r="392" spans="9:12" x14ac:dyDescent="0.25">
      <c r="J392"/>
      <c r="K392"/>
      <c r="L392"/>
    </row>
    <row r="393" spans="9:12" x14ac:dyDescent="0.25">
      <c r="J393"/>
      <c r="K393"/>
      <c r="L393"/>
    </row>
    <row r="394" spans="9:12" x14ac:dyDescent="0.25">
      <c r="J394"/>
      <c r="K394"/>
      <c r="L394"/>
    </row>
    <row r="395" spans="9:12" x14ac:dyDescent="0.25">
      <c r="J395"/>
      <c r="K395"/>
      <c r="L395"/>
    </row>
    <row r="396" spans="9:12" x14ac:dyDescent="0.25">
      <c r="J396"/>
      <c r="K396"/>
      <c r="L396"/>
    </row>
    <row r="397" spans="9:12" x14ac:dyDescent="0.25">
      <c r="J397"/>
      <c r="K397"/>
      <c r="L397"/>
    </row>
    <row r="398" spans="9:12" x14ac:dyDescent="0.25">
      <c r="I398" s="15" t="s">
        <v>63</v>
      </c>
      <c r="J398"/>
      <c r="K398"/>
      <c r="L398"/>
    </row>
    <row r="399" spans="9:12" x14ac:dyDescent="0.25">
      <c r="I399" s="15"/>
      <c r="J399"/>
      <c r="K399"/>
      <c r="L399"/>
    </row>
    <row r="400" spans="9:12" x14ac:dyDescent="0.25">
      <c r="I400" s="45" t="s">
        <v>18</v>
      </c>
      <c r="J400"/>
      <c r="K400"/>
      <c r="L400"/>
    </row>
    <row r="401" spans="9:12" x14ac:dyDescent="0.25">
      <c r="I401" s="46" t="s">
        <v>165</v>
      </c>
      <c r="J401"/>
      <c r="K401"/>
      <c r="L401"/>
    </row>
    <row r="402" spans="9:12" x14ac:dyDescent="0.25">
      <c r="I402" s="46" t="s">
        <v>166</v>
      </c>
      <c r="J402"/>
      <c r="K402"/>
      <c r="L402"/>
    </row>
    <row r="403" spans="9:12" x14ac:dyDescent="0.25">
      <c r="I403" s="46" t="s">
        <v>167</v>
      </c>
      <c r="J403"/>
      <c r="K403"/>
      <c r="L403"/>
    </row>
    <row r="404" spans="9:12" x14ac:dyDescent="0.25">
      <c r="I404" s="46" t="s">
        <v>168</v>
      </c>
      <c r="J404"/>
      <c r="K404"/>
      <c r="L404"/>
    </row>
    <row r="405" spans="9:12" x14ac:dyDescent="0.25">
      <c r="I405" s="46" t="s">
        <v>169</v>
      </c>
      <c r="J405"/>
      <c r="K405"/>
      <c r="L405"/>
    </row>
    <row r="406" spans="9:12" x14ac:dyDescent="0.25">
      <c r="I406" s="46" t="s">
        <v>170</v>
      </c>
      <c r="J406"/>
      <c r="K406"/>
      <c r="L406"/>
    </row>
    <row r="407" spans="9:12" x14ac:dyDescent="0.25">
      <c r="I407" s="46" t="s">
        <v>171</v>
      </c>
      <c r="J407"/>
      <c r="K407"/>
      <c r="L407"/>
    </row>
    <row r="408" spans="9:12" x14ac:dyDescent="0.25">
      <c r="I408" s="46" t="s">
        <v>172</v>
      </c>
      <c r="J408"/>
      <c r="K408"/>
      <c r="L408"/>
    </row>
    <row r="409" spans="9:12" x14ac:dyDescent="0.25">
      <c r="I409" s="46" t="s">
        <v>173</v>
      </c>
      <c r="J409"/>
      <c r="K409"/>
      <c r="L409"/>
    </row>
    <row r="410" spans="9:12" x14ac:dyDescent="0.25">
      <c r="I410" s="46" t="s">
        <v>174</v>
      </c>
      <c r="J410"/>
      <c r="K410"/>
      <c r="L410"/>
    </row>
    <row r="411" spans="9:12" x14ac:dyDescent="0.25">
      <c r="I411" s="46"/>
      <c r="J411"/>
      <c r="K411"/>
      <c r="L411"/>
    </row>
    <row r="412" spans="9:12" x14ac:dyDescent="0.25">
      <c r="I412" s="46" t="s">
        <v>175</v>
      </c>
      <c r="J412"/>
      <c r="K412"/>
      <c r="L412"/>
    </row>
    <row r="413" spans="9:12" x14ac:dyDescent="0.25">
      <c r="I413" s="46" t="s">
        <v>176</v>
      </c>
      <c r="J413"/>
      <c r="K413"/>
      <c r="L413"/>
    </row>
    <row r="414" spans="9:12" x14ac:dyDescent="0.25">
      <c r="I414" s="46" t="s">
        <v>177</v>
      </c>
      <c r="J414"/>
      <c r="K414"/>
      <c r="L414"/>
    </row>
    <row r="415" spans="9:12" x14ac:dyDescent="0.25">
      <c r="I415" s="46" t="s">
        <v>178</v>
      </c>
      <c r="J415"/>
      <c r="K415"/>
      <c r="L415"/>
    </row>
    <row r="416" spans="9:12" x14ac:dyDescent="0.25">
      <c r="I416" s="46" t="s">
        <v>179</v>
      </c>
      <c r="J416"/>
      <c r="K416"/>
      <c r="L416"/>
    </row>
    <row r="417" spans="9:12" x14ac:dyDescent="0.25">
      <c r="I417" s="46" t="s">
        <v>180</v>
      </c>
      <c r="J417"/>
      <c r="K417"/>
      <c r="L417"/>
    </row>
    <row r="418" spans="9:12" x14ac:dyDescent="0.25">
      <c r="I418" s="46" t="s">
        <v>181</v>
      </c>
      <c r="J418"/>
      <c r="K418"/>
      <c r="L418"/>
    </row>
    <row r="419" spans="9:12" x14ac:dyDescent="0.25">
      <c r="I419" s="46" t="s">
        <v>182</v>
      </c>
      <c r="J419"/>
      <c r="K419"/>
      <c r="L419"/>
    </row>
    <row r="420" spans="9:12" x14ac:dyDescent="0.25">
      <c r="I420" s="46" t="s">
        <v>183</v>
      </c>
      <c r="J420"/>
      <c r="K420"/>
      <c r="L420"/>
    </row>
    <row r="421" spans="9:12" x14ac:dyDescent="0.25">
      <c r="I421" s="46" t="s">
        <v>184</v>
      </c>
      <c r="J421"/>
      <c r="K421"/>
      <c r="L421"/>
    </row>
    <row r="422" spans="9:12" x14ac:dyDescent="0.25">
      <c r="I422" s="46" t="s">
        <v>185</v>
      </c>
      <c r="J422"/>
      <c r="K422"/>
      <c r="L422"/>
    </row>
    <row r="423" spans="9:12" x14ac:dyDescent="0.25">
      <c r="I423" s="46" t="s">
        <v>186</v>
      </c>
      <c r="J423"/>
      <c r="K423"/>
      <c r="L423"/>
    </row>
    <row r="424" spans="9:12" x14ac:dyDescent="0.25">
      <c r="I424" s="65"/>
      <c r="J424"/>
      <c r="K424"/>
      <c r="L424"/>
    </row>
    <row r="425" spans="9:12" x14ac:dyDescent="0.25">
      <c r="I425" s="65"/>
      <c r="J425"/>
      <c r="K425"/>
      <c r="L425"/>
    </row>
    <row r="426" spans="9:12" x14ac:dyDescent="0.25">
      <c r="I426" s="65"/>
      <c r="J426"/>
      <c r="K426"/>
      <c r="L426"/>
    </row>
    <row r="427" spans="9:12" x14ac:dyDescent="0.25">
      <c r="I427" s="65"/>
      <c r="J427"/>
      <c r="K427"/>
      <c r="L427"/>
    </row>
    <row r="428" spans="9:12" x14ac:dyDescent="0.25">
      <c r="I428" s="65"/>
      <c r="J428"/>
      <c r="K428"/>
      <c r="L428"/>
    </row>
    <row r="429" spans="9:12" x14ac:dyDescent="0.25">
      <c r="I429" s="65"/>
      <c r="J429"/>
      <c r="K429"/>
      <c r="L429"/>
    </row>
    <row r="430" spans="9:12" x14ac:dyDescent="0.25">
      <c r="I430" s="65"/>
      <c r="J430"/>
      <c r="K430"/>
      <c r="L430"/>
    </row>
    <row r="431" spans="9:12" x14ac:dyDescent="0.25">
      <c r="I431" s="65"/>
      <c r="J431"/>
      <c r="K431"/>
      <c r="L431"/>
    </row>
    <row r="432" spans="9:12" x14ac:dyDescent="0.25">
      <c r="I432" s="65"/>
      <c r="J432"/>
      <c r="K432"/>
      <c r="L432"/>
    </row>
    <row r="433" spans="9:12" x14ac:dyDescent="0.25">
      <c r="I433" s="65"/>
      <c r="J433"/>
      <c r="K433"/>
      <c r="L433"/>
    </row>
    <row r="434" spans="9:12" x14ac:dyDescent="0.25">
      <c r="I434" s="65"/>
      <c r="J434"/>
      <c r="K434"/>
      <c r="L434"/>
    </row>
    <row r="435" spans="9:12" x14ac:dyDescent="0.25">
      <c r="I435" s="65"/>
      <c r="J435"/>
      <c r="K435"/>
      <c r="L435"/>
    </row>
    <row r="436" spans="9:12" x14ac:dyDescent="0.25">
      <c r="I436" s="65"/>
      <c r="J436"/>
      <c r="K436"/>
      <c r="L436"/>
    </row>
    <row r="437" spans="9:12" x14ac:dyDescent="0.25">
      <c r="I437" s="66"/>
      <c r="J437"/>
      <c r="K437"/>
      <c r="L437"/>
    </row>
    <row r="438" spans="9:12" x14ac:dyDescent="0.25">
      <c r="J438"/>
      <c r="K438"/>
      <c r="L438"/>
    </row>
  </sheetData>
  <sheetProtection sort="0" autoFilter="0"/>
  <dataConsolidate/>
  <mergeCells count="18">
    <mergeCell ref="U59:W59"/>
    <mergeCell ref="U69:W69"/>
    <mergeCell ref="U70:W70"/>
    <mergeCell ref="U60:W60"/>
    <mergeCell ref="U61:W61"/>
    <mergeCell ref="U66:W66"/>
    <mergeCell ref="U67:W67"/>
    <mergeCell ref="U68:W68"/>
    <mergeCell ref="U54:W54"/>
    <mergeCell ref="U55:W55"/>
    <mergeCell ref="U56:W56"/>
    <mergeCell ref="U57:W57"/>
    <mergeCell ref="U58:W58"/>
    <mergeCell ref="AJ1:AL1"/>
    <mergeCell ref="F1:G1"/>
    <mergeCell ref="B2:B3"/>
    <mergeCell ref="U52:W52"/>
    <mergeCell ref="U53:W53"/>
  </mergeCells>
  <conditionalFormatting sqref="AY2">
    <cfRule type="expression" dxfId="48" priority="50">
      <formula>$H2="M"</formula>
    </cfRule>
  </conditionalFormatting>
  <conditionalFormatting sqref="AS2:AY2 BA2:BD2">
    <cfRule type="expression" dxfId="47" priority="48">
      <formula>AND($A2&gt;=0,MOD($A2,1)=0,$A2&lt;&gt;"")</formula>
    </cfRule>
    <cfRule type="expression" dxfId="46" priority="49">
      <formula>MOD(ROW(),2)=0</formula>
    </cfRule>
  </conditionalFormatting>
  <conditionalFormatting sqref="AZ2">
    <cfRule type="expression" dxfId="45" priority="37">
      <formula>AND($A2&gt;=0,MOD($A2,1)=0,$A2&lt;&gt;"")</formula>
    </cfRule>
    <cfRule type="expression" dxfId="44" priority="38">
      <formula>MOD(ROW(),2)=0</formula>
    </cfRule>
  </conditionalFormatting>
  <conditionalFormatting sqref="AY7">
    <cfRule type="expression" dxfId="43" priority="28">
      <formula>$H7="M"</formula>
    </cfRule>
  </conditionalFormatting>
  <conditionalFormatting sqref="AS7:AY7 BA7:BD7">
    <cfRule type="expression" dxfId="42" priority="26">
      <formula>AND($A7&gt;=0,MOD($A7,1)=0,$A7&lt;&gt;"")</formula>
    </cfRule>
    <cfRule type="expression" dxfId="41" priority="27">
      <formula>MOD(ROW(),2)=0</formula>
    </cfRule>
  </conditionalFormatting>
  <conditionalFormatting sqref="AZ7">
    <cfRule type="expression" dxfId="40" priority="23">
      <formula>AND($A7&gt;=0,MOD($A7,1)=0,$A7&lt;&gt;"")</formula>
    </cfRule>
    <cfRule type="expression" dxfId="39" priority="24">
      <formula>MOD(ROW(),2)=0</formula>
    </cfRule>
  </conditionalFormatting>
  <conditionalFormatting sqref="AY12">
    <cfRule type="expression" dxfId="38" priority="22">
      <formula>$H12="M"</formula>
    </cfRule>
  </conditionalFormatting>
  <conditionalFormatting sqref="AS12:AY12 BA12:BD12">
    <cfRule type="expression" dxfId="37" priority="20">
      <formula>AND($A12&gt;=0,MOD($A12,1)=0,$A12&lt;&gt;"")</formula>
    </cfRule>
    <cfRule type="expression" dxfId="36" priority="21">
      <formula>MOD(ROW(),2)=0</formula>
    </cfRule>
  </conditionalFormatting>
  <conditionalFormatting sqref="AZ12">
    <cfRule type="expression" dxfId="35" priority="17">
      <formula>AND($A12&gt;=0,MOD($A12,1)=0,$A12&lt;&gt;"")</formula>
    </cfRule>
    <cfRule type="expression" dxfId="34" priority="18">
      <formula>MOD(ROW(),2)=0</formula>
    </cfRule>
  </conditionalFormatting>
  <conditionalFormatting sqref="AY17">
    <cfRule type="expression" dxfId="33" priority="16">
      <formula>$H17="M"</formula>
    </cfRule>
  </conditionalFormatting>
  <conditionalFormatting sqref="AS17:AY17 BA17:BD17">
    <cfRule type="expression" dxfId="32" priority="14">
      <formula>AND($A17&gt;=0,MOD($A17,1)=0,$A17&lt;&gt;"")</formula>
    </cfRule>
    <cfRule type="expression" dxfId="31" priority="15">
      <formula>MOD(ROW(),2)=0</formula>
    </cfRule>
  </conditionalFormatting>
  <conditionalFormatting sqref="AZ17">
    <cfRule type="expression" dxfId="30" priority="11">
      <formula>AND($A17&gt;=0,MOD($A17,1)=0,$A17&lt;&gt;"")</formula>
    </cfRule>
    <cfRule type="expression" dxfId="29" priority="12">
      <formula>MOD(ROW(),2)=0</formula>
    </cfRule>
  </conditionalFormatting>
  <conditionalFormatting sqref="AQ2:AR2">
    <cfRule type="expression" dxfId="28" priority="9">
      <formula>AND($A2&gt;=0,MOD($A2,1)=0,$A2&lt;&gt;"")</formula>
    </cfRule>
    <cfRule type="expression" dxfId="27" priority="10">
      <formula>MOD(ROW(),2)=0</formula>
    </cfRule>
  </conditionalFormatting>
  <conditionalFormatting sqref="AQ7:AR7">
    <cfRule type="expression" dxfId="26" priority="7">
      <formula>AND($A7&gt;=0,MOD($A7,1)=0,$A7&lt;&gt;"")</formula>
    </cfRule>
    <cfRule type="expression" dxfId="25" priority="8">
      <formula>MOD(ROW(),2)=0</formula>
    </cfRule>
  </conditionalFormatting>
  <conditionalFormatting sqref="AQ12:AR12">
    <cfRule type="expression" dxfId="24" priority="5">
      <formula>AND($A12&gt;=0,MOD($A12,1)=0,$A12&lt;&gt;"")</formula>
    </cfRule>
    <cfRule type="expression" dxfId="23" priority="6">
      <formula>MOD(ROW(),2)=0</formula>
    </cfRule>
  </conditionalFormatting>
  <conditionalFormatting sqref="AQ17:AR17">
    <cfRule type="expression" dxfId="22" priority="1">
      <formula>AND($A17&gt;=0,MOD($A17,1)=0,$A17&lt;&gt;"")</formula>
    </cfRule>
    <cfRule type="expression" dxfId="21" priority="2">
      <formula>MOD(ROW(),2)=0</formula>
    </cfRule>
  </conditionalFormatting>
  <conditionalFormatting sqref="BB2">
    <cfRule type="iconSet" priority="47">
      <iconSet iconSet="3Symbols" showValue="0">
        <cfvo type="percent" val="0"/>
        <cfvo type="num" val="#REF!"/>
        <cfvo type="num" val="#REF!"/>
      </iconSet>
    </cfRule>
  </conditionalFormatting>
  <conditionalFormatting sqref="BB7">
    <cfRule type="iconSet" priority="25">
      <iconSet iconSet="3Symbols" showValue="0">
        <cfvo type="percent" val="0"/>
        <cfvo type="num" val="#REF!"/>
        <cfvo type="num" val="#REF!"/>
      </iconSet>
    </cfRule>
  </conditionalFormatting>
  <conditionalFormatting sqref="BB12">
    <cfRule type="iconSet" priority="19">
      <iconSet iconSet="3Symbols" showValue="0">
        <cfvo type="percent" val="0"/>
        <cfvo type="num" val="#REF!"/>
        <cfvo type="num" val="#REF!"/>
      </iconSet>
    </cfRule>
  </conditionalFormatting>
  <conditionalFormatting sqref="BB17">
    <cfRule type="iconSet" priority="13">
      <iconSet iconSet="3Symbols" showValue="0">
        <cfvo type="percent" val="0"/>
        <cfvo type="num" val="#REF!"/>
        <cfvo type="num" val="#REF!"/>
      </iconSet>
    </cfRule>
  </conditionalFormatting>
  <dataValidations disablePrompts="1" count="9">
    <dataValidation type="list" allowBlank="1" showInputMessage="1" showErrorMessage="1" sqref="BA12 BA2 BA7 BA17">
      <formula1>Status</formula1>
    </dataValidation>
    <dataValidation type="list" allowBlank="1" showInputMessage="1" showErrorMessage="1" sqref="AY2 AY7 AY12 AY17">
      <formula1>Dauer</formula1>
    </dataValidation>
    <dataValidation type="list" allowBlank="1" showInputMessage="1" showErrorMessage="1" sqref="AX2 AX7 AX12 AX17">
      <formula1>Datum1</formula1>
    </dataValidation>
    <dataValidation type="list" allowBlank="1" showInputMessage="1" showErrorMessage="1" sqref="AS12 AS2 AS7 AS17">
      <formula1>Aufgabe</formula1>
    </dataValidation>
    <dataValidation type="list" allowBlank="1" showInputMessage="1" showErrorMessage="1" sqref="AW12 AW2 AW7 AW17">
      <formula1>Wer</formula1>
    </dataValidation>
    <dataValidation type="list" allowBlank="1" showInputMessage="1" showErrorMessage="1" sqref="AT12 AT2 AT7 AT17">
      <formula1>Benu1</formula1>
    </dataValidation>
    <dataValidation type="list" allowBlank="1" showInputMessage="1" showErrorMessage="1" sqref="AU12 AU2 AU7 AU17">
      <formula1>Benu2</formula1>
    </dataValidation>
    <dataValidation type="list" allowBlank="1" showInputMessage="1" showErrorMessage="1" sqref="AV12 AV2 AV7 AV17">
      <formula1>Benu3</formula1>
    </dataValidation>
    <dataValidation type="list" showInputMessage="1" showErrorMessage="1" sqref="B21">
      <formula1>"Arbeitstage, Wochentage"</formula1>
    </dataValidation>
  </dataValidations>
  <hyperlinks>
    <hyperlink ref="B7" r:id="rId1"/>
  </hyperlinks>
  <pageMargins left="0.39370078740157499" right="0.39370078740157499" top="0.70866141732283505" bottom="0.78740157480314998" header="0.31496062992126" footer="0.31496062992126"/>
  <pageSetup paperSize="9" scale="10" orientation="landscape" r:id="rId2"/>
  <headerFooter>
    <oddHeader>&amp;LAngebot 15130-02, WuMa 11_x000D_Wolfgang Schmid&amp;RSchmid Maschinenbau_x000D_72820, Sonnenbühl_x000D_w.schmid@schmid-maschinenbau.de</oddHeader>
    <oddFooter xml:space="preserve">&amp;L&amp;12&amp;U || &amp;D  || </oddFooter>
  </headerFooter>
  <drawing r:id="rId3"/>
  <legacyDrawing r:id="rId4"/>
  <controls>
    <mc:AlternateContent xmlns:mc="http://schemas.openxmlformats.org/markup-compatibility/2006">
      <mc:Choice Requires="x14">
        <control shapeId="5204" r:id="rId5" name="onHold1">
          <controlPr autoLine="0" r:id="rId6">
            <anchor moveWithCells="1">
              <from>
                <xdr:col>36</xdr:col>
                <xdr:colOff>161925</xdr:colOff>
                <xdr:row>3</xdr:row>
                <xdr:rowOff>28575</xdr:rowOff>
              </from>
              <to>
                <xdr:col>36</xdr:col>
                <xdr:colOff>457200</xdr:colOff>
                <xdr:row>4</xdr:row>
                <xdr:rowOff>19050</xdr:rowOff>
              </to>
            </anchor>
          </controlPr>
        </control>
      </mc:Choice>
      <mc:Fallback>
        <control shapeId="5204" r:id="rId5" name="onHold1"/>
      </mc:Fallback>
    </mc:AlternateContent>
    <mc:AlternateContent xmlns:mc="http://schemas.openxmlformats.org/markup-compatibility/2006">
      <mc:Choice Requires="x14">
        <control shapeId="5140" r:id="rId7" name="tbAnzahlBloecke">
          <controlPr defaultSize="0" autoLine="0" r:id="rId8">
            <anchor moveWithCells="1">
              <from>
                <xdr:col>1</xdr:col>
                <xdr:colOff>1790700</xdr:colOff>
                <xdr:row>26</xdr:row>
                <xdr:rowOff>114300</xdr:rowOff>
              </from>
              <to>
                <xdr:col>1</xdr:col>
                <xdr:colOff>2971800</xdr:colOff>
                <xdr:row>27</xdr:row>
                <xdr:rowOff>152400</xdr:rowOff>
              </to>
            </anchor>
          </controlPr>
        </control>
      </mc:Choice>
      <mc:Fallback>
        <control shapeId="5140" r:id="rId7" name="tbAnzahlBloecke"/>
      </mc:Fallback>
    </mc:AlternateContent>
    <mc:AlternateContent xmlns:mc="http://schemas.openxmlformats.org/markup-compatibility/2006">
      <mc:Choice Requires="x14">
        <control shapeId="5138" r:id="rId9" name="Label3">
          <controlPr defaultSize="0" autoLine="0" r:id="rId10">
            <anchor moveWithCells="1">
              <from>
                <xdr:col>1</xdr:col>
                <xdr:colOff>57150</xdr:colOff>
                <xdr:row>26</xdr:row>
                <xdr:rowOff>9525</xdr:rowOff>
              </from>
              <to>
                <xdr:col>1</xdr:col>
                <xdr:colOff>1257300</xdr:colOff>
                <xdr:row>28</xdr:row>
                <xdr:rowOff>47625</xdr:rowOff>
              </to>
            </anchor>
          </controlPr>
        </control>
      </mc:Choice>
      <mc:Fallback>
        <control shapeId="5138" r:id="rId9" name="Label3"/>
      </mc:Fallback>
    </mc:AlternateContent>
    <mc:AlternateContent xmlns:mc="http://schemas.openxmlformats.org/markup-compatibility/2006">
      <mc:Choice Requires="x14">
        <control shapeId="5124" r:id="rId11" name="ben3">
          <controlPr defaultSize="0" autoLine="0" r:id="rId12">
            <anchor moveWithCells="1">
              <from>
                <xdr:col>24</xdr:col>
                <xdr:colOff>47625</xdr:colOff>
                <xdr:row>1</xdr:row>
                <xdr:rowOff>104775</xdr:rowOff>
              </from>
              <to>
                <xdr:col>24</xdr:col>
                <xdr:colOff>1743075</xdr:colOff>
                <xdr:row>1</xdr:row>
                <xdr:rowOff>352425</xdr:rowOff>
              </to>
            </anchor>
          </controlPr>
        </control>
      </mc:Choice>
      <mc:Fallback>
        <control shapeId="5124" r:id="rId11" name="ben3"/>
      </mc:Fallback>
    </mc:AlternateContent>
    <mc:AlternateContent xmlns:mc="http://schemas.openxmlformats.org/markup-compatibility/2006">
      <mc:Choice Requires="x14">
        <control shapeId="5123" r:id="rId13" name="ben2">
          <controlPr defaultSize="0" autoLine="0" r:id="rId14">
            <anchor moveWithCells="1">
              <from>
                <xdr:col>22</xdr:col>
                <xdr:colOff>104775</xdr:colOff>
                <xdr:row>1</xdr:row>
                <xdr:rowOff>95250</xdr:rowOff>
              </from>
              <to>
                <xdr:col>22</xdr:col>
                <xdr:colOff>1809750</xdr:colOff>
                <xdr:row>1</xdr:row>
                <xdr:rowOff>333375</xdr:rowOff>
              </to>
            </anchor>
          </controlPr>
        </control>
      </mc:Choice>
      <mc:Fallback>
        <control shapeId="5123" r:id="rId13" name="ben2"/>
      </mc:Fallback>
    </mc:AlternateContent>
    <mc:AlternateContent xmlns:mc="http://schemas.openxmlformats.org/markup-compatibility/2006">
      <mc:Choice Requires="x14">
        <control shapeId="5122" r:id="rId15" name="Ben1">
          <controlPr defaultSize="0" autoLine="0" r:id="rId16">
            <anchor moveWithCells="1">
              <from>
                <xdr:col>20</xdr:col>
                <xdr:colOff>47625</xdr:colOff>
                <xdr:row>1</xdr:row>
                <xdr:rowOff>104775</xdr:rowOff>
              </from>
              <to>
                <xdr:col>20</xdr:col>
                <xdr:colOff>1885950</xdr:colOff>
                <xdr:row>1</xdr:row>
                <xdr:rowOff>371475</xdr:rowOff>
              </to>
            </anchor>
          </controlPr>
        </control>
      </mc:Choice>
      <mc:Fallback>
        <control shapeId="5122" r:id="rId15" name="Ben1"/>
      </mc:Fallback>
    </mc:AlternateContent>
    <mc:AlternateContent xmlns:mc="http://schemas.openxmlformats.org/markup-compatibility/2006">
      <mc:Choice Requires="x14">
        <control shapeId="5127" r:id="rId17" name="ComboBoxFirmen">
          <controlPr defaultSize="0" autoLine="0" r:id="rId18">
            <anchor moveWithCells="1">
              <from>
                <xdr:col>1</xdr:col>
                <xdr:colOff>1857375</xdr:colOff>
                <xdr:row>21</xdr:row>
                <xdr:rowOff>47625</xdr:rowOff>
              </from>
              <to>
                <xdr:col>1</xdr:col>
                <xdr:colOff>3009900</xdr:colOff>
                <xdr:row>22</xdr:row>
                <xdr:rowOff>133350</xdr:rowOff>
              </to>
            </anchor>
          </controlPr>
        </control>
      </mc:Choice>
      <mc:Fallback>
        <control shapeId="5127" r:id="rId17" name="ComboBoxFirmen"/>
      </mc:Fallback>
    </mc:AlternateContent>
    <mc:AlternateContent xmlns:mc="http://schemas.openxmlformats.org/markup-compatibility/2006">
      <mc:Choice Requires="x14">
        <control shapeId="5128" r:id="rId19" name="Label1">
          <controlPr defaultSize="0" autoLine="0" r:id="rId20">
            <anchor moveWithCells="1">
              <from>
                <xdr:col>1</xdr:col>
                <xdr:colOff>66675</xdr:colOff>
                <xdr:row>21</xdr:row>
                <xdr:rowOff>47625</xdr:rowOff>
              </from>
              <to>
                <xdr:col>1</xdr:col>
                <xdr:colOff>1295400</xdr:colOff>
                <xdr:row>23</xdr:row>
                <xdr:rowOff>19050</xdr:rowOff>
              </to>
            </anchor>
          </controlPr>
        </control>
      </mc:Choice>
      <mc:Fallback>
        <control shapeId="5128" r:id="rId19" name="Label1"/>
      </mc:Fallback>
    </mc:AlternateContent>
    <mc:AlternateContent xmlns:mc="http://schemas.openxmlformats.org/markup-compatibility/2006">
      <mc:Choice Requires="x14">
        <control shapeId="5129" r:id="rId21" name="Label2">
          <controlPr defaultSize="0" autoLine="0" r:id="rId22">
            <anchor moveWithCells="1">
              <from>
                <xdr:col>1</xdr:col>
                <xdr:colOff>38100</xdr:colOff>
                <xdr:row>23</xdr:row>
                <xdr:rowOff>152400</xdr:rowOff>
              </from>
              <to>
                <xdr:col>1</xdr:col>
                <xdr:colOff>1447800</xdr:colOff>
                <xdr:row>25</xdr:row>
                <xdr:rowOff>38100</xdr:rowOff>
              </to>
            </anchor>
          </controlPr>
        </control>
      </mc:Choice>
      <mc:Fallback>
        <control shapeId="5129" r:id="rId21" name="Label2"/>
      </mc:Fallback>
    </mc:AlternateContent>
    <mc:AlternateContent xmlns:mc="http://schemas.openxmlformats.org/markup-compatibility/2006">
      <mc:Choice Requires="x14">
        <control shapeId="5130" r:id="rId23" name="tbAnzahlWochen">
          <controlPr defaultSize="0" autoLine="0" r:id="rId24">
            <anchor moveWithCells="1">
              <from>
                <xdr:col>1</xdr:col>
                <xdr:colOff>1828800</xdr:colOff>
                <xdr:row>23</xdr:row>
                <xdr:rowOff>171450</xdr:rowOff>
              </from>
              <to>
                <xdr:col>1</xdr:col>
                <xdr:colOff>3009900</xdr:colOff>
                <xdr:row>25</xdr:row>
                <xdr:rowOff>19050</xdr:rowOff>
              </to>
            </anchor>
          </controlPr>
        </control>
      </mc:Choice>
      <mc:Fallback>
        <control shapeId="5130" r:id="rId23" name="tbAnzahlWochen"/>
      </mc:Fallback>
    </mc:AlternateContent>
    <mc:AlternateContent xmlns:mc="http://schemas.openxmlformats.org/markup-compatibility/2006">
      <mc:Choice Requires="x14">
        <control shapeId="5132" r:id="rId25" name="lbBloecke">
          <controlPr defaultSize="0" autoLine="0" r:id="rId26">
            <anchor moveWithCells="1">
              <from>
                <xdr:col>1</xdr:col>
                <xdr:colOff>47625</xdr:colOff>
                <xdr:row>33</xdr:row>
                <xdr:rowOff>76200</xdr:rowOff>
              </from>
              <to>
                <xdr:col>1</xdr:col>
                <xdr:colOff>1171575</xdr:colOff>
                <xdr:row>35</xdr:row>
                <xdr:rowOff>123825</xdr:rowOff>
              </to>
            </anchor>
          </controlPr>
        </control>
      </mc:Choice>
      <mc:Fallback>
        <control shapeId="5132" r:id="rId25" name="lbBloecke"/>
      </mc:Fallback>
    </mc:AlternateContent>
    <mc:AlternateContent xmlns:mc="http://schemas.openxmlformats.org/markup-compatibility/2006">
      <mc:Choice Requires="x14">
        <control shapeId="5143" r:id="rId27" name="aufg1">
          <controlPr defaultSize="0" autoLine="0" r:id="rId28">
            <anchor moveWithCells="1">
              <from>
                <xdr:col>35</xdr:col>
                <xdr:colOff>104775</xdr:colOff>
                <xdr:row>0</xdr:row>
                <xdr:rowOff>95250</xdr:rowOff>
              </from>
              <to>
                <xdr:col>35</xdr:col>
                <xdr:colOff>1809750</xdr:colOff>
                <xdr:row>1</xdr:row>
                <xdr:rowOff>66675</xdr:rowOff>
              </to>
            </anchor>
          </controlPr>
        </control>
      </mc:Choice>
      <mc:Fallback>
        <control shapeId="5143" r:id="rId27" name="aufg1"/>
      </mc:Fallback>
    </mc:AlternateContent>
    <mc:AlternateContent xmlns:mc="http://schemas.openxmlformats.org/markup-compatibility/2006">
      <mc:Choice Requires="x14">
        <control shapeId="5145" r:id="rId29" name="onHold2">
          <controlPr autoLine="0" r:id="rId6">
            <anchor moveWithCells="1">
              <from>
                <xdr:col>36</xdr:col>
                <xdr:colOff>161925</xdr:colOff>
                <xdr:row>4</xdr:row>
                <xdr:rowOff>38100</xdr:rowOff>
              </from>
              <to>
                <xdr:col>36</xdr:col>
                <xdr:colOff>457200</xdr:colOff>
                <xdr:row>5</xdr:row>
                <xdr:rowOff>38100</xdr:rowOff>
              </to>
            </anchor>
          </controlPr>
        </control>
      </mc:Choice>
      <mc:Fallback>
        <control shapeId="5145" r:id="rId29" name="onHold2"/>
      </mc:Fallback>
    </mc:AlternateContent>
    <mc:AlternateContent xmlns:mc="http://schemas.openxmlformats.org/markup-compatibility/2006">
      <mc:Choice Requires="x14">
        <control shapeId="5147" r:id="rId30" name="onHold3">
          <controlPr autoLine="0" r:id="rId31">
            <anchor moveWithCells="1">
              <from>
                <xdr:col>36</xdr:col>
                <xdr:colOff>180975</xdr:colOff>
                <xdr:row>5</xdr:row>
                <xdr:rowOff>247650</xdr:rowOff>
              </from>
              <to>
                <xdr:col>36</xdr:col>
                <xdr:colOff>466725</xdr:colOff>
                <xdr:row>6</xdr:row>
                <xdr:rowOff>47625</xdr:rowOff>
              </to>
            </anchor>
          </controlPr>
        </control>
      </mc:Choice>
      <mc:Fallback>
        <control shapeId="5147" r:id="rId30" name="onHold3"/>
      </mc:Fallback>
    </mc:AlternateContent>
    <mc:AlternateContent xmlns:mc="http://schemas.openxmlformats.org/markup-compatibility/2006">
      <mc:Choice Requires="x14">
        <control shapeId="5149" r:id="rId32" name="onHold4">
          <controlPr autoLine="0" r:id="rId33">
            <anchor moveWithCells="1">
              <from>
                <xdr:col>36</xdr:col>
                <xdr:colOff>190500</xdr:colOff>
                <xdr:row>7</xdr:row>
                <xdr:rowOff>0</xdr:rowOff>
              </from>
              <to>
                <xdr:col>36</xdr:col>
                <xdr:colOff>476250</xdr:colOff>
                <xdr:row>7</xdr:row>
                <xdr:rowOff>180975</xdr:rowOff>
              </to>
            </anchor>
          </controlPr>
        </control>
      </mc:Choice>
      <mc:Fallback>
        <control shapeId="5149" r:id="rId32" name="onHold4"/>
      </mc:Fallback>
    </mc:AlternateContent>
    <mc:AlternateContent xmlns:mc="http://schemas.openxmlformats.org/markup-compatibility/2006">
      <mc:Choice Requires="x14">
        <control shapeId="5151" r:id="rId34" name="onHold5">
          <controlPr autoLine="0" r:id="rId35">
            <anchor moveWithCells="1">
              <from>
                <xdr:col>36</xdr:col>
                <xdr:colOff>180975</xdr:colOff>
                <xdr:row>7</xdr:row>
                <xdr:rowOff>38100</xdr:rowOff>
              </from>
              <to>
                <xdr:col>36</xdr:col>
                <xdr:colOff>466725</xdr:colOff>
                <xdr:row>8</xdr:row>
                <xdr:rowOff>28575</xdr:rowOff>
              </to>
            </anchor>
          </controlPr>
        </control>
      </mc:Choice>
      <mc:Fallback>
        <control shapeId="5151" r:id="rId34" name="onHold5"/>
      </mc:Fallback>
    </mc:AlternateContent>
    <mc:AlternateContent xmlns:mc="http://schemas.openxmlformats.org/markup-compatibility/2006">
      <mc:Choice Requires="x14">
        <control shapeId="5152" r:id="rId36" name="onHold7">
          <controlPr autoLine="0" r:id="rId35">
            <anchor moveWithCells="1">
              <from>
                <xdr:col>36</xdr:col>
                <xdr:colOff>180975</xdr:colOff>
                <xdr:row>9</xdr:row>
                <xdr:rowOff>66675</xdr:rowOff>
              </from>
              <to>
                <xdr:col>36</xdr:col>
                <xdr:colOff>466725</xdr:colOff>
                <xdr:row>10</xdr:row>
                <xdr:rowOff>38100</xdr:rowOff>
              </to>
            </anchor>
          </controlPr>
        </control>
      </mc:Choice>
      <mc:Fallback>
        <control shapeId="5152" r:id="rId36" name="onHold7"/>
      </mc:Fallback>
    </mc:AlternateContent>
    <mc:AlternateContent xmlns:mc="http://schemas.openxmlformats.org/markup-compatibility/2006">
      <mc:Choice Requires="x14">
        <control shapeId="5153" r:id="rId37" name="onHold8">
          <controlPr autoLine="0" r:id="rId35">
            <anchor moveWithCells="1">
              <from>
                <xdr:col>36</xdr:col>
                <xdr:colOff>180975</xdr:colOff>
                <xdr:row>10</xdr:row>
                <xdr:rowOff>57150</xdr:rowOff>
              </from>
              <to>
                <xdr:col>36</xdr:col>
                <xdr:colOff>466725</xdr:colOff>
                <xdr:row>11</xdr:row>
                <xdr:rowOff>19050</xdr:rowOff>
              </to>
            </anchor>
          </controlPr>
        </control>
      </mc:Choice>
      <mc:Fallback>
        <control shapeId="5153" r:id="rId37" name="onHold8"/>
      </mc:Fallback>
    </mc:AlternateContent>
    <mc:AlternateContent xmlns:mc="http://schemas.openxmlformats.org/markup-compatibility/2006">
      <mc:Choice Requires="x14">
        <control shapeId="5154" r:id="rId38" name="onHold10">
          <controlPr autoLine="0" r:id="rId35">
            <anchor moveWithCells="1">
              <from>
                <xdr:col>36</xdr:col>
                <xdr:colOff>180975</xdr:colOff>
                <xdr:row>12</xdr:row>
                <xdr:rowOff>57150</xdr:rowOff>
              </from>
              <to>
                <xdr:col>36</xdr:col>
                <xdr:colOff>466725</xdr:colOff>
                <xdr:row>13</xdr:row>
                <xdr:rowOff>19050</xdr:rowOff>
              </to>
            </anchor>
          </controlPr>
        </control>
      </mc:Choice>
      <mc:Fallback>
        <control shapeId="5154" r:id="rId38" name="onHold10"/>
      </mc:Fallback>
    </mc:AlternateContent>
    <mc:AlternateContent xmlns:mc="http://schemas.openxmlformats.org/markup-compatibility/2006">
      <mc:Choice Requires="x14">
        <control shapeId="5155" r:id="rId39" name="onHold11">
          <controlPr autoLine="0" r:id="rId35">
            <anchor moveWithCells="1">
              <from>
                <xdr:col>36</xdr:col>
                <xdr:colOff>180975</xdr:colOff>
                <xdr:row>13</xdr:row>
                <xdr:rowOff>19050</xdr:rowOff>
              </from>
              <to>
                <xdr:col>36</xdr:col>
                <xdr:colOff>466725</xdr:colOff>
                <xdr:row>14</xdr:row>
                <xdr:rowOff>19050</xdr:rowOff>
              </to>
            </anchor>
          </controlPr>
        </control>
      </mc:Choice>
      <mc:Fallback>
        <control shapeId="5155" r:id="rId39" name="onHold11"/>
      </mc:Fallback>
    </mc:AlternateContent>
    <mc:AlternateContent xmlns:mc="http://schemas.openxmlformats.org/markup-compatibility/2006">
      <mc:Choice Requires="x14">
        <control shapeId="5156" r:id="rId40" name="onHold9">
          <controlPr autoLine="0" r:id="rId35">
            <anchor moveWithCells="1">
              <from>
                <xdr:col>36</xdr:col>
                <xdr:colOff>180975</xdr:colOff>
                <xdr:row>11</xdr:row>
                <xdr:rowOff>38100</xdr:rowOff>
              </from>
              <to>
                <xdr:col>36</xdr:col>
                <xdr:colOff>466725</xdr:colOff>
                <xdr:row>12</xdr:row>
                <xdr:rowOff>19050</xdr:rowOff>
              </to>
            </anchor>
          </controlPr>
        </control>
      </mc:Choice>
      <mc:Fallback>
        <control shapeId="5156" r:id="rId40" name="onHold9"/>
      </mc:Fallback>
    </mc:AlternateContent>
    <mc:AlternateContent xmlns:mc="http://schemas.openxmlformats.org/markup-compatibility/2006">
      <mc:Choice Requires="x14">
        <control shapeId="5157" r:id="rId41" name="onHold6">
          <controlPr autoLine="0" r:id="rId35">
            <anchor moveWithCells="1">
              <from>
                <xdr:col>36</xdr:col>
                <xdr:colOff>180975</xdr:colOff>
                <xdr:row>8</xdr:row>
                <xdr:rowOff>28575</xdr:rowOff>
              </from>
              <to>
                <xdr:col>36</xdr:col>
                <xdr:colOff>466725</xdr:colOff>
                <xdr:row>9</xdr:row>
                <xdr:rowOff>28575</xdr:rowOff>
              </to>
            </anchor>
          </controlPr>
        </control>
      </mc:Choice>
      <mc:Fallback>
        <control shapeId="5157" r:id="rId41" name="onHold6"/>
      </mc:Fallback>
    </mc:AlternateContent>
    <mc:AlternateContent xmlns:mc="http://schemas.openxmlformats.org/markup-compatibility/2006">
      <mc:Choice Requires="x14">
        <control shapeId="5158" r:id="rId42" name="onHold12">
          <controlPr autoLine="0" r:id="rId35">
            <anchor moveWithCells="1">
              <from>
                <xdr:col>36</xdr:col>
                <xdr:colOff>180975</xdr:colOff>
                <xdr:row>14</xdr:row>
                <xdr:rowOff>19050</xdr:rowOff>
              </from>
              <to>
                <xdr:col>36</xdr:col>
                <xdr:colOff>466725</xdr:colOff>
                <xdr:row>15</xdr:row>
                <xdr:rowOff>19050</xdr:rowOff>
              </to>
            </anchor>
          </controlPr>
        </control>
      </mc:Choice>
      <mc:Fallback>
        <control shapeId="5158" r:id="rId42" name="onHold12"/>
      </mc:Fallback>
    </mc:AlternateContent>
    <mc:AlternateContent xmlns:mc="http://schemas.openxmlformats.org/markup-compatibility/2006">
      <mc:Choice Requires="x14">
        <control shapeId="5159" r:id="rId43" name="onHold13">
          <controlPr autoLine="0" r:id="rId35">
            <anchor moveWithCells="1">
              <from>
                <xdr:col>36</xdr:col>
                <xdr:colOff>180975</xdr:colOff>
                <xdr:row>15</xdr:row>
                <xdr:rowOff>19050</xdr:rowOff>
              </from>
              <to>
                <xdr:col>36</xdr:col>
                <xdr:colOff>466725</xdr:colOff>
                <xdr:row>16</xdr:row>
                <xdr:rowOff>9525</xdr:rowOff>
              </to>
            </anchor>
          </controlPr>
        </control>
      </mc:Choice>
      <mc:Fallback>
        <control shapeId="5159" r:id="rId43" name="onHold13"/>
      </mc:Fallback>
    </mc:AlternateContent>
    <mc:AlternateContent xmlns:mc="http://schemas.openxmlformats.org/markup-compatibility/2006">
      <mc:Choice Requires="x14">
        <control shapeId="5160" r:id="rId44" name="onHold14">
          <controlPr autoLine="0" r:id="rId35">
            <anchor moveWithCells="1">
              <from>
                <xdr:col>36</xdr:col>
                <xdr:colOff>180975</xdr:colOff>
                <xdr:row>16</xdr:row>
                <xdr:rowOff>38100</xdr:rowOff>
              </from>
              <to>
                <xdr:col>36</xdr:col>
                <xdr:colOff>466725</xdr:colOff>
                <xdr:row>17</xdr:row>
                <xdr:rowOff>19050</xdr:rowOff>
              </to>
            </anchor>
          </controlPr>
        </control>
      </mc:Choice>
      <mc:Fallback>
        <control shapeId="5160" r:id="rId44" name="onHold14"/>
      </mc:Fallback>
    </mc:AlternateContent>
    <mc:AlternateContent xmlns:mc="http://schemas.openxmlformats.org/markup-compatibility/2006">
      <mc:Choice Requires="x14">
        <control shapeId="5161" r:id="rId45" name="onHold15">
          <controlPr autoLine="0" r:id="rId35">
            <anchor moveWithCells="1">
              <from>
                <xdr:col>36</xdr:col>
                <xdr:colOff>180975</xdr:colOff>
                <xdr:row>17</xdr:row>
                <xdr:rowOff>38100</xdr:rowOff>
              </from>
              <to>
                <xdr:col>36</xdr:col>
                <xdr:colOff>466725</xdr:colOff>
                <xdr:row>18</xdr:row>
                <xdr:rowOff>28575</xdr:rowOff>
              </to>
            </anchor>
          </controlPr>
        </control>
      </mc:Choice>
      <mc:Fallback>
        <control shapeId="5161" r:id="rId45" name="onHold15"/>
      </mc:Fallback>
    </mc:AlternateContent>
    <mc:AlternateContent xmlns:mc="http://schemas.openxmlformats.org/markup-compatibility/2006">
      <mc:Choice Requires="x14">
        <control shapeId="5162" r:id="rId46" name="onHold16">
          <controlPr autoLine="0" r:id="rId35">
            <anchor moveWithCells="1">
              <from>
                <xdr:col>36</xdr:col>
                <xdr:colOff>180975</xdr:colOff>
                <xdr:row>18</xdr:row>
                <xdr:rowOff>57150</xdr:rowOff>
              </from>
              <to>
                <xdr:col>36</xdr:col>
                <xdr:colOff>466725</xdr:colOff>
                <xdr:row>19</xdr:row>
                <xdr:rowOff>38100</xdr:rowOff>
              </to>
            </anchor>
          </controlPr>
        </control>
      </mc:Choice>
      <mc:Fallback>
        <control shapeId="5162" r:id="rId46" name="onHold16"/>
      </mc:Fallback>
    </mc:AlternateContent>
    <mc:AlternateContent xmlns:mc="http://schemas.openxmlformats.org/markup-compatibility/2006">
      <mc:Choice Requires="x14">
        <control shapeId="5163" r:id="rId47" name="onHold17">
          <controlPr autoLine="0" r:id="rId35">
            <anchor moveWithCells="1">
              <from>
                <xdr:col>36</xdr:col>
                <xdr:colOff>180975</xdr:colOff>
                <xdr:row>19</xdr:row>
                <xdr:rowOff>57150</xdr:rowOff>
              </from>
              <to>
                <xdr:col>36</xdr:col>
                <xdr:colOff>466725</xdr:colOff>
                <xdr:row>20</xdr:row>
                <xdr:rowOff>57150</xdr:rowOff>
              </to>
            </anchor>
          </controlPr>
        </control>
      </mc:Choice>
      <mc:Fallback>
        <control shapeId="5163" r:id="rId47" name="onHold17"/>
      </mc:Fallback>
    </mc:AlternateContent>
    <mc:AlternateContent xmlns:mc="http://schemas.openxmlformats.org/markup-compatibility/2006">
      <mc:Choice Requires="x14">
        <control shapeId="5164" r:id="rId48" name="onHold18">
          <controlPr autoLine="0" r:id="rId35">
            <anchor moveWithCells="1">
              <from>
                <xdr:col>36</xdr:col>
                <xdr:colOff>180975</xdr:colOff>
                <xdr:row>20</xdr:row>
                <xdr:rowOff>57150</xdr:rowOff>
              </from>
              <to>
                <xdr:col>36</xdr:col>
                <xdr:colOff>466725</xdr:colOff>
                <xdr:row>21</xdr:row>
                <xdr:rowOff>28575</xdr:rowOff>
              </to>
            </anchor>
          </controlPr>
        </control>
      </mc:Choice>
      <mc:Fallback>
        <control shapeId="5164" r:id="rId48" name="onHold18"/>
      </mc:Fallback>
    </mc:AlternateContent>
    <mc:AlternateContent xmlns:mc="http://schemas.openxmlformats.org/markup-compatibility/2006">
      <mc:Choice Requires="x14">
        <control shapeId="5165" r:id="rId49" name="onHold19">
          <controlPr autoLine="0" r:id="rId35">
            <anchor moveWithCells="1">
              <from>
                <xdr:col>36</xdr:col>
                <xdr:colOff>180975</xdr:colOff>
                <xdr:row>21</xdr:row>
                <xdr:rowOff>28575</xdr:rowOff>
              </from>
              <to>
                <xdr:col>36</xdr:col>
                <xdr:colOff>466725</xdr:colOff>
                <xdr:row>22</xdr:row>
                <xdr:rowOff>28575</xdr:rowOff>
              </to>
            </anchor>
          </controlPr>
        </control>
      </mc:Choice>
      <mc:Fallback>
        <control shapeId="5165" r:id="rId49" name="onHold19"/>
      </mc:Fallback>
    </mc:AlternateContent>
    <mc:AlternateContent xmlns:mc="http://schemas.openxmlformats.org/markup-compatibility/2006">
      <mc:Choice Requires="x14">
        <control shapeId="5166" r:id="rId50" name="onHold20">
          <controlPr autoLine="0" r:id="rId35">
            <anchor moveWithCells="1">
              <from>
                <xdr:col>36</xdr:col>
                <xdr:colOff>180975</xdr:colOff>
                <xdr:row>22</xdr:row>
                <xdr:rowOff>28575</xdr:rowOff>
              </from>
              <to>
                <xdr:col>36</xdr:col>
                <xdr:colOff>466725</xdr:colOff>
                <xdr:row>23</xdr:row>
                <xdr:rowOff>28575</xdr:rowOff>
              </to>
            </anchor>
          </controlPr>
        </control>
      </mc:Choice>
      <mc:Fallback>
        <control shapeId="5166" r:id="rId50" name="onHold20"/>
      </mc:Fallback>
    </mc:AlternateContent>
    <mc:AlternateContent xmlns:mc="http://schemas.openxmlformats.org/markup-compatibility/2006">
      <mc:Choice Requires="x14">
        <control shapeId="5167" r:id="rId51" name="onHold21">
          <controlPr autoLine="0" r:id="rId35">
            <anchor moveWithCells="1">
              <from>
                <xdr:col>36</xdr:col>
                <xdr:colOff>180975</xdr:colOff>
                <xdr:row>23</xdr:row>
                <xdr:rowOff>28575</xdr:rowOff>
              </from>
              <to>
                <xdr:col>36</xdr:col>
                <xdr:colOff>466725</xdr:colOff>
                <xdr:row>24</xdr:row>
                <xdr:rowOff>28575</xdr:rowOff>
              </to>
            </anchor>
          </controlPr>
        </control>
      </mc:Choice>
      <mc:Fallback>
        <control shapeId="5167" r:id="rId51" name="onHold21"/>
      </mc:Fallback>
    </mc:AlternateContent>
    <mc:AlternateContent xmlns:mc="http://schemas.openxmlformats.org/markup-compatibility/2006">
      <mc:Choice Requires="x14">
        <control shapeId="5168" r:id="rId52" name="onHold22">
          <controlPr autoLine="0" r:id="rId35">
            <anchor moveWithCells="1">
              <from>
                <xdr:col>36</xdr:col>
                <xdr:colOff>180975</xdr:colOff>
                <xdr:row>24</xdr:row>
                <xdr:rowOff>28575</xdr:rowOff>
              </from>
              <to>
                <xdr:col>36</xdr:col>
                <xdr:colOff>466725</xdr:colOff>
                <xdr:row>25</xdr:row>
                <xdr:rowOff>28575</xdr:rowOff>
              </to>
            </anchor>
          </controlPr>
        </control>
      </mc:Choice>
      <mc:Fallback>
        <control shapeId="5168" r:id="rId52" name="onHold22"/>
      </mc:Fallback>
    </mc:AlternateContent>
    <mc:AlternateContent xmlns:mc="http://schemas.openxmlformats.org/markup-compatibility/2006">
      <mc:Choice Requires="x14">
        <control shapeId="5169" r:id="rId53" name="onHold23">
          <controlPr autoLine="0" r:id="rId35">
            <anchor moveWithCells="1">
              <from>
                <xdr:col>36</xdr:col>
                <xdr:colOff>180975</xdr:colOff>
                <xdr:row>25</xdr:row>
                <xdr:rowOff>28575</xdr:rowOff>
              </from>
              <to>
                <xdr:col>36</xdr:col>
                <xdr:colOff>466725</xdr:colOff>
                <xdr:row>26</xdr:row>
                <xdr:rowOff>28575</xdr:rowOff>
              </to>
            </anchor>
          </controlPr>
        </control>
      </mc:Choice>
      <mc:Fallback>
        <control shapeId="5169" r:id="rId53" name="onHold23"/>
      </mc:Fallback>
    </mc:AlternateContent>
    <mc:AlternateContent xmlns:mc="http://schemas.openxmlformats.org/markup-compatibility/2006">
      <mc:Choice Requires="x14">
        <control shapeId="5170" r:id="rId54" name="onHold24">
          <controlPr autoLine="0" r:id="rId35">
            <anchor moveWithCells="1">
              <from>
                <xdr:col>36</xdr:col>
                <xdr:colOff>180975</xdr:colOff>
                <xdr:row>26</xdr:row>
                <xdr:rowOff>28575</xdr:rowOff>
              </from>
              <to>
                <xdr:col>36</xdr:col>
                <xdr:colOff>466725</xdr:colOff>
                <xdr:row>27</xdr:row>
                <xdr:rowOff>28575</xdr:rowOff>
              </to>
            </anchor>
          </controlPr>
        </control>
      </mc:Choice>
      <mc:Fallback>
        <control shapeId="5170" r:id="rId54" name="onHold24"/>
      </mc:Fallback>
    </mc:AlternateContent>
    <mc:AlternateContent xmlns:mc="http://schemas.openxmlformats.org/markup-compatibility/2006">
      <mc:Choice Requires="x14">
        <control shapeId="5171" r:id="rId55" name="onHold25">
          <controlPr autoLine="0" r:id="rId35">
            <anchor moveWithCells="1">
              <from>
                <xdr:col>36</xdr:col>
                <xdr:colOff>180975</xdr:colOff>
                <xdr:row>27</xdr:row>
                <xdr:rowOff>28575</xdr:rowOff>
              </from>
              <to>
                <xdr:col>36</xdr:col>
                <xdr:colOff>466725</xdr:colOff>
                <xdr:row>28</xdr:row>
                <xdr:rowOff>28575</xdr:rowOff>
              </to>
            </anchor>
          </controlPr>
        </control>
      </mc:Choice>
      <mc:Fallback>
        <control shapeId="5171" r:id="rId55" name="onHold25"/>
      </mc:Fallback>
    </mc:AlternateContent>
    <mc:AlternateContent xmlns:mc="http://schemas.openxmlformats.org/markup-compatibility/2006">
      <mc:Choice Requires="x14">
        <control shapeId="5172" r:id="rId56" name="onHold26">
          <controlPr autoLine="0" r:id="rId35">
            <anchor moveWithCells="1">
              <from>
                <xdr:col>36</xdr:col>
                <xdr:colOff>180975</xdr:colOff>
                <xdr:row>28</xdr:row>
                <xdr:rowOff>28575</xdr:rowOff>
              </from>
              <to>
                <xdr:col>36</xdr:col>
                <xdr:colOff>466725</xdr:colOff>
                <xdr:row>29</xdr:row>
                <xdr:rowOff>28575</xdr:rowOff>
              </to>
            </anchor>
          </controlPr>
        </control>
      </mc:Choice>
      <mc:Fallback>
        <control shapeId="5172" r:id="rId56" name="onHold26"/>
      </mc:Fallback>
    </mc:AlternateContent>
    <mc:AlternateContent xmlns:mc="http://schemas.openxmlformats.org/markup-compatibility/2006">
      <mc:Choice Requires="x14">
        <control shapeId="5173" r:id="rId57" name="onHold27">
          <controlPr autoLine="0" r:id="rId35">
            <anchor moveWithCells="1">
              <from>
                <xdr:col>36</xdr:col>
                <xdr:colOff>180975</xdr:colOff>
                <xdr:row>29</xdr:row>
                <xdr:rowOff>28575</xdr:rowOff>
              </from>
              <to>
                <xdr:col>36</xdr:col>
                <xdr:colOff>466725</xdr:colOff>
                <xdr:row>30</xdr:row>
                <xdr:rowOff>28575</xdr:rowOff>
              </to>
            </anchor>
          </controlPr>
        </control>
      </mc:Choice>
      <mc:Fallback>
        <control shapeId="5173" r:id="rId57" name="onHold27"/>
      </mc:Fallback>
    </mc:AlternateContent>
    <mc:AlternateContent xmlns:mc="http://schemas.openxmlformats.org/markup-compatibility/2006">
      <mc:Choice Requires="x14">
        <control shapeId="5174" r:id="rId58" name="onHold28">
          <controlPr autoLine="0" r:id="rId35">
            <anchor moveWithCells="1">
              <from>
                <xdr:col>36</xdr:col>
                <xdr:colOff>180975</xdr:colOff>
                <xdr:row>30</xdr:row>
                <xdr:rowOff>28575</xdr:rowOff>
              </from>
              <to>
                <xdr:col>36</xdr:col>
                <xdr:colOff>466725</xdr:colOff>
                <xdr:row>31</xdr:row>
                <xdr:rowOff>28575</xdr:rowOff>
              </to>
            </anchor>
          </controlPr>
        </control>
      </mc:Choice>
      <mc:Fallback>
        <control shapeId="5174" r:id="rId58" name="onHold28"/>
      </mc:Fallback>
    </mc:AlternateContent>
    <mc:AlternateContent xmlns:mc="http://schemas.openxmlformats.org/markup-compatibility/2006">
      <mc:Choice Requires="x14">
        <control shapeId="5175" r:id="rId59" name="onHold29">
          <controlPr autoLine="0" r:id="rId35">
            <anchor moveWithCells="1">
              <from>
                <xdr:col>36</xdr:col>
                <xdr:colOff>180975</xdr:colOff>
                <xdr:row>31</xdr:row>
                <xdr:rowOff>28575</xdr:rowOff>
              </from>
              <to>
                <xdr:col>36</xdr:col>
                <xdr:colOff>466725</xdr:colOff>
                <xdr:row>32</xdr:row>
                <xdr:rowOff>28575</xdr:rowOff>
              </to>
            </anchor>
          </controlPr>
        </control>
      </mc:Choice>
      <mc:Fallback>
        <control shapeId="5175" r:id="rId59" name="onHold29"/>
      </mc:Fallback>
    </mc:AlternateContent>
    <mc:AlternateContent xmlns:mc="http://schemas.openxmlformats.org/markup-compatibility/2006">
      <mc:Choice Requires="x14">
        <control shapeId="5176" r:id="rId60" name="onHold30">
          <controlPr autoLine="0" r:id="rId35">
            <anchor moveWithCells="1">
              <from>
                <xdr:col>36</xdr:col>
                <xdr:colOff>180975</xdr:colOff>
                <xdr:row>32</xdr:row>
                <xdr:rowOff>28575</xdr:rowOff>
              </from>
              <to>
                <xdr:col>36</xdr:col>
                <xdr:colOff>466725</xdr:colOff>
                <xdr:row>33</xdr:row>
                <xdr:rowOff>28575</xdr:rowOff>
              </to>
            </anchor>
          </controlPr>
        </control>
      </mc:Choice>
      <mc:Fallback>
        <control shapeId="5176" r:id="rId60" name="onHold30"/>
      </mc:Fallback>
    </mc:AlternateContent>
    <mc:AlternateContent xmlns:mc="http://schemas.openxmlformats.org/markup-compatibility/2006">
      <mc:Choice Requires="x14">
        <control shapeId="5177" r:id="rId61" name="onHold31">
          <controlPr autoLine="0" r:id="rId35">
            <anchor moveWithCells="1">
              <from>
                <xdr:col>36</xdr:col>
                <xdr:colOff>180975</xdr:colOff>
                <xdr:row>33</xdr:row>
                <xdr:rowOff>28575</xdr:rowOff>
              </from>
              <to>
                <xdr:col>36</xdr:col>
                <xdr:colOff>466725</xdr:colOff>
                <xdr:row>34</xdr:row>
                <xdr:rowOff>28575</xdr:rowOff>
              </to>
            </anchor>
          </controlPr>
        </control>
      </mc:Choice>
      <mc:Fallback>
        <control shapeId="5177" r:id="rId61" name="onHold31"/>
      </mc:Fallback>
    </mc:AlternateContent>
    <mc:AlternateContent xmlns:mc="http://schemas.openxmlformats.org/markup-compatibility/2006">
      <mc:Choice Requires="x14">
        <control shapeId="5178" r:id="rId62" name="onHold32">
          <controlPr autoLine="0" r:id="rId35">
            <anchor moveWithCells="1">
              <from>
                <xdr:col>36</xdr:col>
                <xdr:colOff>180975</xdr:colOff>
                <xdr:row>34</xdr:row>
                <xdr:rowOff>28575</xdr:rowOff>
              </from>
              <to>
                <xdr:col>36</xdr:col>
                <xdr:colOff>466725</xdr:colOff>
                <xdr:row>35</xdr:row>
                <xdr:rowOff>28575</xdr:rowOff>
              </to>
            </anchor>
          </controlPr>
        </control>
      </mc:Choice>
      <mc:Fallback>
        <control shapeId="5178" r:id="rId62" name="onHold32"/>
      </mc:Fallback>
    </mc:AlternateContent>
    <mc:AlternateContent xmlns:mc="http://schemas.openxmlformats.org/markup-compatibility/2006">
      <mc:Choice Requires="x14">
        <control shapeId="5179" r:id="rId63" name="onHold33">
          <controlPr autoLine="0" r:id="rId35">
            <anchor moveWithCells="1">
              <from>
                <xdr:col>36</xdr:col>
                <xdr:colOff>180975</xdr:colOff>
                <xdr:row>35</xdr:row>
                <xdr:rowOff>28575</xdr:rowOff>
              </from>
              <to>
                <xdr:col>36</xdr:col>
                <xdr:colOff>466725</xdr:colOff>
                <xdr:row>36</xdr:row>
                <xdr:rowOff>28575</xdr:rowOff>
              </to>
            </anchor>
          </controlPr>
        </control>
      </mc:Choice>
      <mc:Fallback>
        <control shapeId="5179" r:id="rId63" name="onHold33"/>
      </mc:Fallback>
    </mc:AlternateContent>
    <mc:AlternateContent xmlns:mc="http://schemas.openxmlformats.org/markup-compatibility/2006">
      <mc:Choice Requires="x14">
        <control shapeId="5180" r:id="rId64" name="onHold34">
          <controlPr autoLine="0" r:id="rId35">
            <anchor moveWithCells="1">
              <from>
                <xdr:col>36</xdr:col>
                <xdr:colOff>180975</xdr:colOff>
                <xdr:row>36</xdr:row>
                <xdr:rowOff>28575</xdr:rowOff>
              </from>
              <to>
                <xdr:col>36</xdr:col>
                <xdr:colOff>466725</xdr:colOff>
                <xdr:row>37</xdr:row>
                <xdr:rowOff>28575</xdr:rowOff>
              </to>
            </anchor>
          </controlPr>
        </control>
      </mc:Choice>
      <mc:Fallback>
        <control shapeId="5180" r:id="rId64" name="onHold34"/>
      </mc:Fallback>
    </mc:AlternateContent>
    <mc:AlternateContent xmlns:mc="http://schemas.openxmlformats.org/markup-compatibility/2006">
      <mc:Choice Requires="x14">
        <control shapeId="5181" r:id="rId65" name="onHold35">
          <controlPr autoLine="0" r:id="rId35">
            <anchor moveWithCells="1">
              <from>
                <xdr:col>36</xdr:col>
                <xdr:colOff>180975</xdr:colOff>
                <xdr:row>37</xdr:row>
                <xdr:rowOff>28575</xdr:rowOff>
              </from>
              <to>
                <xdr:col>36</xdr:col>
                <xdr:colOff>466725</xdr:colOff>
                <xdr:row>38</xdr:row>
                <xdr:rowOff>28575</xdr:rowOff>
              </to>
            </anchor>
          </controlPr>
        </control>
      </mc:Choice>
      <mc:Fallback>
        <control shapeId="5181" r:id="rId65" name="onHold35"/>
      </mc:Fallback>
    </mc:AlternateContent>
    <mc:AlternateContent xmlns:mc="http://schemas.openxmlformats.org/markup-compatibility/2006">
      <mc:Choice Requires="x14">
        <control shapeId="5182" r:id="rId66" name="onHold36">
          <controlPr autoLine="0" r:id="rId35">
            <anchor moveWithCells="1">
              <from>
                <xdr:col>36</xdr:col>
                <xdr:colOff>180975</xdr:colOff>
                <xdr:row>38</xdr:row>
                <xdr:rowOff>28575</xdr:rowOff>
              </from>
              <to>
                <xdr:col>36</xdr:col>
                <xdr:colOff>466725</xdr:colOff>
                <xdr:row>39</xdr:row>
                <xdr:rowOff>28575</xdr:rowOff>
              </to>
            </anchor>
          </controlPr>
        </control>
      </mc:Choice>
      <mc:Fallback>
        <control shapeId="5182" r:id="rId66" name="onHold36"/>
      </mc:Fallback>
    </mc:AlternateContent>
    <mc:AlternateContent xmlns:mc="http://schemas.openxmlformats.org/markup-compatibility/2006">
      <mc:Choice Requires="x14">
        <control shapeId="5183" r:id="rId67" name="onHold37">
          <controlPr autoLine="0" r:id="rId35">
            <anchor moveWithCells="1">
              <from>
                <xdr:col>36</xdr:col>
                <xdr:colOff>180975</xdr:colOff>
                <xdr:row>39</xdr:row>
                <xdr:rowOff>28575</xdr:rowOff>
              </from>
              <to>
                <xdr:col>36</xdr:col>
                <xdr:colOff>466725</xdr:colOff>
                <xdr:row>40</xdr:row>
                <xdr:rowOff>28575</xdr:rowOff>
              </to>
            </anchor>
          </controlPr>
        </control>
      </mc:Choice>
      <mc:Fallback>
        <control shapeId="5183" r:id="rId67" name="onHold37"/>
      </mc:Fallback>
    </mc:AlternateContent>
    <mc:AlternateContent xmlns:mc="http://schemas.openxmlformats.org/markup-compatibility/2006">
      <mc:Choice Requires="x14">
        <control shapeId="5184" r:id="rId68" name="onHold38">
          <controlPr autoLine="0" r:id="rId35">
            <anchor moveWithCells="1">
              <from>
                <xdr:col>36</xdr:col>
                <xdr:colOff>180975</xdr:colOff>
                <xdr:row>40</xdr:row>
                <xdr:rowOff>28575</xdr:rowOff>
              </from>
              <to>
                <xdr:col>36</xdr:col>
                <xdr:colOff>466725</xdr:colOff>
                <xdr:row>41</xdr:row>
                <xdr:rowOff>28575</xdr:rowOff>
              </to>
            </anchor>
          </controlPr>
        </control>
      </mc:Choice>
      <mc:Fallback>
        <control shapeId="5184" r:id="rId68" name="onHold38"/>
      </mc:Fallback>
    </mc:AlternateContent>
    <mc:AlternateContent xmlns:mc="http://schemas.openxmlformats.org/markup-compatibility/2006">
      <mc:Choice Requires="x14">
        <control shapeId="5185" r:id="rId69" name="onHold39">
          <controlPr autoLine="0" r:id="rId35">
            <anchor moveWithCells="1">
              <from>
                <xdr:col>36</xdr:col>
                <xdr:colOff>180975</xdr:colOff>
                <xdr:row>41</xdr:row>
                <xdr:rowOff>28575</xdr:rowOff>
              </from>
              <to>
                <xdr:col>36</xdr:col>
                <xdr:colOff>466725</xdr:colOff>
                <xdr:row>42</xdr:row>
                <xdr:rowOff>28575</xdr:rowOff>
              </to>
            </anchor>
          </controlPr>
        </control>
      </mc:Choice>
      <mc:Fallback>
        <control shapeId="5185" r:id="rId69" name="onHold39"/>
      </mc:Fallback>
    </mc:AlternateContent>
    <mc:AlternateContent xmlns:mc="http://schemas.openxmlformats.org/markup-compatibility/2006">
      <mc:Choice Requires="x14">
        <control shapeId="5186" r:id="rId70" name="onHold40">
          <controlPr autoLine="0" r:id="rId35">
            <anchor moveWithCells="1">
              <from>
                <xdr:col>36</xdr:col>
                <xdr:colOff>180975</xdr:colOff>
                <xdr:row>42</xdr:row>
                <xdr:rowOff>28575</xdr:rowOff>
              </from>
              <to>
                <xdr:col>36</xdr:col>
                <xdr:colOff>466725</xdr:colOff>
                <xdr:row>43</xdr:row>
                <xdr:rowOff>28575</xdr:rowOff>
              </to>
            </anchor>
          </controlPr>
        </control>
      </mc:Choice>
      <mc:Fallback>
        <control shapeId="5186" r:id="rId70" name="onHold40"/>
      </mc:Fallback>
    </mc:AlternateContent>
    <mc:AlternateContent xmlns:mc="http://schemas.openxmlformats.org/markup-compatibility/2006">
      <mc:Choice Requires="x14">
        <control shapeId="5187" r:id="rId71" name="onHold41">
          <controlPr autoLine="0" r:id="rId35">
            <anchor moveWithCells="1">
              <from>
                <xdr:col>36</xdr:col>
                <xdr:colOff>180975</xdr:colOff>
                <xdr:row>43</xdr:row>
                <xdr:rowOff>28575</xdr:rowOff>
              </from>
              <to>
                <xdr:col>36</xdr:col>
                <xdr:colOff>466725</xdr:colOff>
                <xdr:row>44</xdr:row>
                <xdr:rowOff>28575</xdr:rowOff>
              </to>
            </anchor>
          </controlPr>
        </control>
      </mc:Choice>
      <mc:Fallback>
        <control shapeId="5187" r:id="rId71" name="onHold41"/>
      </mc:Fallback>
    </mc:AlternateContent>
    <mc:AlternateContent xmlns:mc="http://schemas.openxmlformats.org/markup-compatibility/2006">
      <mc:Choice Requires="x14">
        <control shapeId="5188" r:id="rId72" name="onHold42">
          <controlPr autoLine="0" r:id="rId35">
            <anchor moveWithCells="1">
              <from>
                <xdr:col>36</xdr:col>
                <xdr:colOff>180975</xdr:colOff>
                <xdr:row>44</xdr:row>
                <xdr:rowOff>28575</xdr:rowOff>
              </from>
              <to>
                <xdr:col>36</xdr:col>
                <xdr:colOff>466725</xdr:colOff>
                <xdr:row>45</xdr:row>
                <xdr:rowOff>28575</xdr:rowOff>
              </to>
            </anchor>
          </controlPr>
        </control>
      </mc:Choice>
      <mc:Fallback>
        <control shapeId="5188" r:id="rId72" name="onHold42"/>
      </mc:Fallback>
    </mc:AlternateContent>
    <mc:AlternateContent xmlns:mc="http://schemas.openxmlformats.org/markup-compatibility/2006">
      <mc:Choice Requires="x14">
        <control shapeId="5189" r:id="rId73" name="onHold43">
          <controlPr autoLine="0" r:id="rId35">
            <anchor moveWithCells="1">
              <from>
                <xdr:col>36</xdr:col>
                <xdr:colOff>180975</xdr:colOff>
                <xdr:row>45</xdr:row>
                <xdr:rowOff>28575</xdr:rowOff>
              </from>
              <to>
                <xdr:col>36</xdr:col>
                <xdr:colOff>466725</xdr:colOff>
                <xdr:row>46</xdr:row>
                <xdr:rowOff>28575</xdr:rowOff>
              </to>
            </anchor>
          </controlPr>
        </control>
      </mc:Choice>
      <mc:Fallback>
        <control shapeId="5189" r:id="rId73" name="onHold43"/>
      </mc:Fallback>
    </mc:AlternateContent>
    <mc:AlternateContent xmlns:mc="http://schemas.openxmlformats.org/markup-compatibility/2006">
      <mc:Choice Requires="x14">
        <control shapeId="5190" r:id="rId74" name="onHold44">
          <controlPr autoLine="0" r:id="rId35">
            <anchor moveWithCells="1">
              <from>
                <xdr:col>36</xdr:col>
                <xdr:colOff>180975</xdr:colOff>
                <xdr:row>46</xdr:row>
                <xdr:rowOff>28575</xdr:rowOff>
              </from>
              <to>
                <xdr:col>36</xdr:col>
                <xdr:colOff>466725</xdr:colOff>
                <xdr:row>47</xdr:row>
                <xdr:rowOff>28575</xdr:rowOff>
              </to>
            </anchor>
          </controlPr>
        </control>
      </mc:Choice>
      <mc:Fallback>
        <control shapeId="5190" r:id="rId74" name="onHold44"/>
      </mc:Fallback>
    </mc:AlternateContent>
    <mc:AlternateContent xmlns:mc="http://schemas.openxmlformats.org/markup-compatibility/2006">
      <mc:Choice Requires="x14">
        <control shapeId="5191" r:id="rId75" name="CheckBox45">
          <controlPr autoLine="0" r:id="rId35">
            <anchor moveWithCells="1">
              <from>
                <xdr:col>36</xdr:col>
                <xdr:colOff>180975</xdr:colOff>
                <xdr:row>47</xdr:row>
                <xdr:rowOff>76200</xdr:rowOff>
              </from>
              <to>
                <xdr:col>36</xdr:col>
                <xdr:colOff>466725</xdr:colOff>
                <xdr:row>47</xdr:row>
                <xdr:rowOff>266700</xdr:rowOff>
              </to>
            </anchor>
          </controlPr>
        </control>
      </mc:Choice>
      <mc:Fallback>
        <control shapeId="5191" r:id="rId75" name="CheckBox45"/>
      </mc:Fallback>
    </mc:AlternateContent>
    <mc:AlternateContent xmlns:mc="http://schemas.openxmlformats.org/markup-compatibility/2006">
      <mc:Choice Requires="x14">
        <control shapeId="5192" r:id="rId76" name="onHold45">
          <controlPr autoLine="0" r:id="rId35">
            <anchor moveWithCells="1">
              <from>
                <xdr:col>36</xdr:col>
                <xdr:colOff>180975</xdr:colOff>
                <xdr:row>47</xdr:row>
                <xdr:rowOff>28575</xdr:rowOff>
              </from>
              <to>
                <xdr:col>36</xdr:col>
                <xdr:colOff>466725</xdr:colOff>
                <xdr:row>47</xdr:row>
                <xdr:rowOff>219075</xdr:rowOff>
              </to>
            </anchor>
          </controlPr>
        </control>
      </mc:Choice>
      <mc:Fallback>
        <control shapeId="5192" r:id="rId76" name="onHold45"/>
      </mc:Fallback>
    </mc:AlternateContent>
    <mc:AlternateContent xmlns:mc="http://schemas.openxmlformats.org/markup-compatibility/2006">
      <mc:Choice Requires="x14">
        <control shapeId="5193" r:id="rId77" name="onHold46">
          <controlPr autoLine="0" r:id="rId35">
            <anchor moveWithCells="1">
              <from>
                <xdr:col>36</xdr:col>
                <xdr:colOff>180975</xdr:colOff>
                <xdr:row>48</xdr:row>
                <xdr:rowOff>28575</xdr:rowOff>
              </from>
              <to>
                <xdr:col>36</xdr:col>
                <xdr:colOff>466725</xdr:colOff>
                <xdr:row>49</xdr:row>
                <xdr:rowOff>28575</xdr:rowOff>
              </to>
            </anchor>
          </controlPr>
        </control>
      </mc:Choice>
      <mc:Fallback>
        <control shapeId="5193" r:id="rId77" name="onHold46"/>
      </mc:Fallback>
    </mc:AlternateContent>
    <mc:AlternateContent xmlns:mc="http://schemas.openxmlformats.org/markup-compatibility/2006">
      <mc:Choice Requires="x14">
        <control shapeId="5194" r:id="rId78" name="onHold47">
          <controlPr autoLine="0" r:id="rId35">
            <anchor moveWithCells="1">
              <from>
                <xdr:col>36</xdr:col>
                <xdr:colOff>180975</xdr:colOff>
                <xdr:row>49</xdr:row>
                <xdr:rowOff>28575</xdr:rowOff>
              </from>
              <to>
                <xdr:col>36</xdr:col>
                <xdr:colOff>466725</xdr:colOff>
                <xdr:row>50</xdr:row>
                <xdr:rowOff>19050</xdr:rowOff>
              </to>
            </anchor>
          </controlPr>
        </control>
      </mc:Choice>
      <mc:Fallback>
        <control shapeId="5194" r:id="rId78" name="onHold47"/>
      </mc:Fallback>
    </mc:AlternateContent>
    <mc:AlternateContent xmlns:mc="http://schemas.openxmlformats.org/markup-compatibility/2006">
      <mc:Choice Requires="x14">
        <control shapeId="5195" r:id="rId79" name="onHold48">
          <controlPr autoLine="0" r:id="rId35">
            <anchor moveWithCells="1">
              <from>
                <xdr:col>36</xdr:col>
                <xdr:colOff>180975</xdr:colOff>
                <xdr:row>50</xdr:row>
                <xdr:rowOff>28575</xdr:rowOff>
              </from>
              <to>
                <xdr:col>36</xdr:col>
                <xdr:colOff>466725</xdr:colOff>
                <xdr:row>51</xdr:row>
                <xdr:rowOff>19050</xdr:rowOff>
              </to>
            </anchor>
          </controlPr>
        </control>
      </mc:Choice>
      <mc:Fallback>
        <control shapeId="5195" r:id="rId79" name="onHold48"/>
      </mc:Fallback>
    </mc:AlternateContent>
    <mc:AlternateContent xmlns:mc="http://schemas.openxmlformats.org/markup-compatibility/2006">
      <mc:Choice Requires="x14">
        <control shapeId="5196" r:id="rId80" name="onHold49">
          <controlPr autoLine="0" r:id="rId35">
            <anchor moveWithCells="1">
              <from>
                <xdr:col>36</xdr:col>
                <xdr:colOff>180975</xdr:colOff>
                <xdr:row>51</xdr:row>
                <xdr:rowOff>28575</xdr:rowOff>
              </from>
              <to>
                <xdr:col>36</xdr:col>
                <xdr:colOff>466725</xdr:colOff>
                <xdr:row>52</xdr:row>
                <xdr:rowOff>28575</xdr:rowOff>
              </to>
            </anchor>
          </controlPr>
        </control>
      </mc:Choice>
      <mc:Fallback>
        <control shapeId="5196" r:id="rId80" name="onHold49"/>
      </mc:Fallback>
    </mc:AlternateContent>
    <mc:AlternateContent xmlns:mc="http://schemas.openxmlformats.org/markup-compatibility/2006">
      <mc:Choice Requires="x14">
        <control shapeId="5197" r:id="rId81" name="onHold50">
          <controlPr autoLine="0" r:id="rId35">
            <anchor moveWithCells="1">
              <from>
                <xdr:col>36</xdr:col>
                <xdr:colOff>180975</xdr:colOff>
                <xdr:row>52</xdr:row>
                <xdr:rowOff>28575</xdr:rowOff>
              </from>
              <to>
                <xdr:col>36</xdr:col>
                <xdr:colOff>466725</xdr:colOff>
                <xdr:row>53</xdr:row>
                <xdr:rowOff>28575</xdr:rowOff>
              </to>
            </anchor>
          </controlPr>
        </control>
      </mc:Choice>
      <mc:Fallback>
        <control shapeId="5197" r:id="rId81" name="onHold50"/>
      </mc:Fallback>
    </mc:AlternateContent>
    <mc:AlternateContent xmlns:mc="http://schemas.openxmlformats.org/markup-compatibility/2006">
      <mc:Choice Requires="x14">
        <control shapeId="5198" r:id="rId82" name="CheckBox52">
          <controlPr autoLine="0" r:id="rId35">
            <anchor moveWithCells="1">
              <from>
                <xdr:col>36</xdr:col>
                <xdr:colOff>180975</xdr:colOff>
                <xdr:row>53</xdr:row>
                <xdr:rowOff>76200</xdr:rowOff>
              </from>
              <to>
                <xdr:col>36</xdr:col>
                <xdr:colOff>466725</xdr:colOff>
                <xdr:row>53</xdr:row>
                <xdr:rowOff>266700</xdr:rowOff>
              </to>
            </anchor>
          </controlPr>
        </control>
      </mc:Choice>
      <mc:Fallback>
        <control shapeId="5198" r:id="rId82" name="CheckBox52"/>
      </mc:Fallback>
    </mc:AlternateContent>
    <mc:AlternateContent xmlns:mc="http://schemas.openxmlformats.org/markup-compatibility/2006">
      <mc:Choice Requires="x14">
        <control shapeId="5199" r:id="rId83" name="CheckBox53">
          <controlPr autoLine="0" r:id="rId35">
            <anchor moveWithCells="1">
              <from>
                <xdr:col>36</xdr:col>
                <xdr:colOff>180975</xdr:colOff>
                <xdr:row>53</xdr:row>
                <xdr:rowOff>76200</xdr:rowOff>
              </from>
              <to>
                <xdr:col>36</xdr:col>
                <xdr:colOff>466725</xdr:colOff>
                <xdr:row>53</xdr:row>
                <xdr:rowOff>266700</xdr:rowOff>
              </to>
            </anchor>
          </controlPr>
        </control>
      </mc:Choice>
      <mc:Fallback>
        <control shapeId="5199" r:id="rId83" name="CheckBox53"/>
      </mc:Fallback>
    </mc:AlternateContent>
    <mc:AlternateContent xmlns:mc="http://schemas.openxmlformats.org/markup-compatibility/2006">
      <mc:Choice Requires="x14">
        <control shapeId="5200" r:id="rId84" name="onHold51">
          <controlPr autoLine="0" r:id="rId35">
            <anchor moveWithCells="1">
              <from>
                <xdr:col>36</xdr:col>
                <xdr:colOff>180975</xdr:colOff>
                <xdr:row>53</xdr:row>
                <xdr:rowOff>28575</xdr:rowOff>
              </from>
              <to>
                <xdr:col>36</xdr:col>
                <xdr:colOff>466725</xdr:colOff>
                <xdr:row>53</xdr:row>
                <xdr:rowOff>219075</xdr:rowOff>
              </to>
            </anchor>
          </controlPr>
        </control>
      </mc:Choice>
      <mc:Fallback>
        <control shapeId="5200" r:id="rId84" name="onHold51"/>
      </mc:Fallback>
    </mc:AlternateContent>
    <mc:AlternateContent xmlns:mc="http://schemas.openxmlformats.org/markup-compatibility/2006">
      <mc:Choice Requires="x14">
        <control shapeId="5201" r:id="rId85" name="onHold52">
          <controlPr autoLine="0" r:id="rId35">
            <anchor moveWithCells="1">
              <from>
                <xdr:col>36</xdr:col>
                <xdr:colOff>180975</xdr:colOff>
                <xdr:row>54</xdr:row>
                <xdr:rowOff>28575</xdr:rowOff>
              </from>
              <to>
                <xdr:col>36</xdr:col>
                <xdr:colOff>466725</xdr:colOff>
                <xdr:row>55</xdr:row>
                <xdr:rowOff>28575</xdr:rowOff>
              </to>
            </anchor>
          </controlPr>
        </control>
      </mc:Choice>
      <mc:Fallback>
        <control shapeId="5201" r:id="rId85" name="onHold52"/>
      </mc:Fallback>
    </mc:AlternateContent>
    <mc:AlternateContent xmlns:mc="http://schemas.openxmlformats.org/markup-compatibility/2006">
      <mc:Choice Requires="x14">
        <control shapeId="5202" r:id="rId86" name="onHold53">
          <controlPr autoLine="0" r:id="rId35">
            <anchor moveWithCells="1">
              <from>
                <xdr:col>36</xdr:col>
                <xdr:colOff>180975</xdr:colOff>
                <xdr:row>55</xdr:row>
                <xdr:rowOff>28575</xdr:rowOff>
              </from>
              <to>
                <xdr:col>36</xdr:col>
                <xdr:colOff>466725</xdr:colOff>
                <xdr:row>56</xdr:row>
                <xdr:rowOff>28575</xdr:rowOff>
              </to>
            </anchor>
          </controlPr>
        </control>
      </mc:Choice>
      <mc:Fallback>
        <control shapeId="5202" r:id="rId86" name="onHold53"/>
      </mc:Fallback>
    </mc:AlternateContent>
    <mc:AlternateContent xmlns:mc="http://schemas.openxmlformats.org/markup-compatibility/2006">
      <mc:Choice Requires="x14">
        <control shapeId="5203" r:id="rId87" name="onHold54">
          <controlPr autoLine="0" r:id="rId35">
            <anchor moveWithCells="1">
              <from>
                <xdr:col>36</xdr:col>
                <xdr:colOff>180975</xdr:colOff>
                <xdr:row>56</xdr:row>
                <xdr:rowOff>28575</xdr:rowOff>
              </from>
              <to>
                <xdr:col>36</xdr:col>
                <xdr:colOff>466725</xdr:colOff>
                <xdr:row>56</xdr:row>
                <xdr:rowOff>219075</xdr:rowOff>
              </to>
            </anchor>
          </controlPr>
        </control>
      </mc:Choice>
      <mc:Fallback>
        <control shapeId="5203" r:id="rId87" name="onHold5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eilensteine">
    <tabColor theme="0" tint="-0.34998626667073579"/>
    <pageSetUpPr autoPageBreaks="0" fitToPage="1"/>
  </sheetPr>
  <dimension ref="A1:U52"/>
  <sheetViews>
    <sheetView showGridLines="0" topLeftCell="A4" zoomScale="75" zoomScaleNormal="75" workbookViewId="0">
      <selection activeCell="B32" sqref="B32"/>
    </sheetView>
  </sheetViews>
  <sheetFormatPr baseColWidth="10" defaultColWidth="9.140625" defaultRowHeight="19.5" customHeight="1" x14ac:dyDescent="0.25"/>
  <cols>
    <col min="1" max="1" width="1" style="254" customWidth="1"/>
    <col min="2" max="2" width="16.140625" style="254" customWidth="1"/>
    <col min="3" max="3" width="35" style="254" customWidth="1"/>
    <col min="4" max="4" width="74" style="254" customWidth="1"/>
    <col min="5" max="5" width="16.28515625" style="254" customWidth="1"/>
    <col min="6" max="6" width="46" style="254" customWidth="1"/>
    <col min="7" max="7" width="25.28515625" style="254" customWidth="1"/>
    <col min="8" max="8" width="12.7109375" style="254" customWidth="1"/>
    <col min="9" max="9" width="0.140625" style="254" customWidth="1"/>
    <col min="10" max="10" width="17.7109375" style="254" customWidth="1"/>
    <col min="11" max="11" width="20.7109375" style="254" hidden="1" customWidth="1"/>
    <col min="12" max="12" width="17.85546875" style="254" hidden="1" customWidth="1"/>
    <col min="13" max="13" width="3.42578125" style="254" customWidth="1"/>
    <col min="14" max="14" width="13.85546875" style="254" bestFit="1" customWidth="1"/>
    <col min="15" max="15" width="13" style="254" bestFit="1" customWidth="1"/>
    <col min="16" max="17" width="9.140625" style="254"/>
    <col min="18" max="18" width="9.28515625" style="254" bestFit="1" customWidth="1"/>
    <col min="19" max="16384" width="9.140625" style="254"/>
  </cols>
  <sheetData>
    <row r="1" spans="1:21" s="245" customFormat="1" ht="51" customHeight="1" x14ac:dyDescent="0.25">
      <c r="A1" s="244"/>
      <c r="B1" s="249" t="s">
        <v>156</v>
      </c>
      <c r="C1" s="250"/>
      <c r="D1" s="82"/>
      <c r="E1" s="82"/>
      <c r="F1" s="82"/>
      <c r="G1" s="292" t="s">
        <v>57</v>
      </c>
      <c r="H1" s="291" t="s">
        <v>65</v>
      </c>
      <c r="I1" s="85"/>
      <c r="J1" s="85"/>
      <c r="K1" s="251"/>
      <c r="L1" s="83"/>
      <c r="M1" s="251"/>
      <c r="N1" s="84"/>
      <c r="O1" s="84"/>
    </row>
    <row r="2" spans="1:21" s="246" customFormat="1" ht="19.5" customHeight="1" x14ac:dyDescent="0.25">
      <c r="B2" s="247"/>
      <c r="C2" s="248"/>
      <c r="G2" s="336" t="s">
        <v>160</v>
      </c>
      <c r="H2" s="361" t="str">
        <f>Stammdaten!$B13</f>
        <v>Wolfgang Schmid</v>
      </c>
      <c r="I2" s="362"/>
      <c r="J2" s="362"/>
      <c r="K2" s="362"/>
      <c r="L2" s="362"/>
      <c r="M2" s="362"/>
      <c r="N2" s="362"/>
      <c r="Q2" s="252"/>
      <c r="S2" s="81"/>
      <c r="T2" s="359"/>
      <c r="U2" s="359"/>
    </row>
    <row r="3" spans="1:21" s="246" customFormat="1" ht="19.5" customHeight="1" x14ac:dyDescent="0.25">
      <c r="B3" s="247"/>
      <c r="C3" s="248"/>
      <c r="D3" s="85"/>
      <c r="E3" s="85"/>
      <c r="F3" s="85"/>
      <c r="G3" s="81" t="s">
        <v>40</v>
      </c>
      <c r="H3" s="360">
        <f>Stammdaten!$B16</f>
        <v>42550</v>
      </c>
      <c r="I3" s="360"/>
      <c r="J3" s="85"/>
      <c r="Q3" s="253"/>
      <c r="S3" s="81"/>
      <c r="T3" s="359"/>
      <c r="U3" s="359"/>
    </row>
    <row r="4" spans="1:21" s="256" customFormat="1" ht="30.75" customHeight="1" x14ac:dyDescent="0.25">
      <c r="A4" s="257"/>
      <c r="B4" s="273"/>
      <c r="C4" s="274"/>
      <c r="D4" s="274"/>
      <c r="E4" s="274"/>
      <c r="F4" s="274"/>
      <c r="G4" s="81" t="s">
        <v>95</v>
      </c>
      <c r="H4" s="360">
        <f>Stammdaten!$B19</f>
        <v>42576</v>
      </c>
      <c r="I4" s="360"/>
      <c r="J4" s="255"/>
      <c r="K4" s="255"/>
      <c r="L4" s="255"/>
      <c r="M4" s="255"/>
      <c r="N4" s="255"/>
      <c r="O4" s="255"/>
    </row>
    <row r="5" spans="1:21" s="256" customFormat="1" ht="21" customHeight="1" x14ac:dyDescent="0.25">
      <c r="A5" s="257"/>
      <c r="B5" s="276"/>
      <c r="C5" s="274"/>
      <c r="D5" s="274"/>
      <c r="E5" s="274"/>
      <c r="F5" s="274"/>
      <c r="G5" s="331"/>
      <c r="H5" s="293"/>
      <c r="I5" s="275"/>
      <c r="J5" s="255"/>
      <c r="K5" s="303"/>
      <c r="L5" s="255"/>
      <c r="M5" s="255"/>
      <c r="N5" s="255"/>
      <c r="O5" s="255"/>
      <c r="R5" s="255"/>
    </row>
    <row r="6" spans="1:21" s="256" customFormat="1" ht="5.25" customHeight="1" x14ac:dyDescent="0.25">
      <c r="A6" s="257"/>
      <c r="B6" s="277"/>
      <c r="C6" s="274"/>
      <c r="D6" s="274"/>
      <c r="E6" s="274"/>
      <c r="F6" s="274"/>
      <c r="G6" s="274"/>
      <c r="H6" s="274"/>
      <c r="I6" s="274"/>
      <c r="J6" s="305"/>
      <c r="K6" s="303"/>
      <c r="L6" s="305"/>
      <c r="M6" s="305"/>
      <c r="N6" s="255"/>
      <c r="O6" s="255"/>
    </row>
    <row r="7" spans="1:21" s="256" customFormat="1" ht="19.5" customHeight="1" x14ac:dyDescent="0.25">
      <c r="J7" s="305"/>
      <c r="K7" s="304"/>
      <c r="L7" s="305"/>
      <c r="M7" s="305"/>
      <c r="N7" s="305"/>
      <c r="O7" s="255"/>
    </row>
    <row r="8" spans="1:21" s="256" customFormat="1" ht="19.5" customHeight="1" x14ac:dyDescent="0.25">
      <c r="J8" s="305"/>
      <c r="K8" s="304"/>
      <c r="L8" s="305"/>
      <c r="M8" s="305"/>
      <c r="N8" s="305"/>
      <c r="O8" s="255"/>
    </row>
    <row r="9" spans="1:21" s="256" customFormat="1" ht="19.5" customHeight="1" x14ac:dyDescent="0.25">
      <c r="J9" s="305"/>
      <c r="K9" s="304"/>
      <c r="L9" s="305"/>
      <c r="M9" s="305"/>
      <c r="N9" s="305"/>
      <c r="O9" s="255"/>
    </row>
    <row r="10" spans="1:21" s="256" customFormat="1" ht="19.5" customHeight="1" x14ac:dyDescent="0.25">
      <c r="J10" s="305"/>
      <c r="K10" s="304"/>
      <c r="L10" s="305"/>
      <c r="M10" s="305"/>
      <c r="N10" s="305"/>
      <c r="O10" s="255"/>
    </row>
    <row r="11" spans="1:21" s="256" customFormat="1" ht="19.5" customHeight="1" x14ac:dyDescent="0.25">
      <c r="J11" s="305"/>
      <c r="K11" s="304"/>
      <c r="L11" s="305"/>
      <c r="M11" s="305"/>
      <c r="N11" s="305"/>
      <c r="O11" s="255"/>
    </row>
    <row r="12" spans="1:21" s="256" customFormat="1" ht="19.5" customHeight="1" x14ac:dyDescent="0.25">
      <c r="J12" s="305"/>
      <c r="K12" s="304"/>
      <c r="L12" s="305"/>
      <c r="M12" s="305"/>
      <c r="N12" s="305"/>
      <c r="O12" s="255"/>
    </row>
    <row r="13" spans="1:21" s="256" customFormat="1" ht="19.5" customHeight="1" x14ac:dyDescent="0.25">
      <c r="J13" s="305"/>
      <c r="K13" s="304"/>
      <c r="L13" s="305"/>
      <c r="M13" s="305"/>
      <c r="N13" s="305"/>
      <c r="O13" s="255"/>
    </row>
    <row r="14" spans="1:21" s="256" customFormat="1" ht="19.5" customHeight="1" x14ac:dyDescent="0.25">
      <c r="J14" s="305"/>
      <c r="K14" s="304"/>
      <c r="L14" s="305"/>
      <c r="M14" s="305"/>
      <c r="N14" s="305"/>
      <c r="O14" s="255"/>
    </row>
    <row r="15" spans="1:21" s="256" customFormat="1" ht="19.5" customHeight="1" x14ac:dyDescent="0.25">
      <c r="J15" s="305"/>
      <c r="K15" s="304"/>
      <c r="L15" s="305"/>
      <c r="M15" s="305"/>
      <c r="N15" s="305"/>
      <c r="O15" s="255"/>
    </row>
    <row r="16" spans="1:21" s="256" customFormat="1" ht="19.5" customHeight="1" x14ac:dyDescent="0.25">
      <c r="J16" s="305"/>
      <c r="K16" s="304"/>
      <c r="L16" s="305"/>
      <c r="M16" s="305"/>
      <c r="N16" s="305"/>
      <c r="O16" s="255"/>
    </row>
    <row r="17" spans="2:17" s="256" customFormat="1" ht="19.5" customHeight="1" x14ac:dyDescent="0.25">
      <c r="J17" s="305"/>
      <c r="K17" s="304"/>
      <c r="L17" s="305"/>
      <c r="M17" s="305"/>
      <c r="N17" s="305"/>
      <c r="O17" s="255"/>
    </row>
    <row r="18" spans="2:17" s="256" customFormat="1" ht="19.5" customHeight="1" x14ac:dyDescent="0.25">
      <c r="J18" s="305"/>
      <c r="K18" s="304"/>
      <c r="L18" s="305"/>
      <c r="M18" s="305"/>
      <c r="N18" s="305"/>
      <c r="O18" s="255"/>
    </row>
    <row r="19" spans="2:17" s="256" customFormat="1" ht="19.5" customHeight="1" x14ac:dyDescent="0.25">
      <c r="J19" s="305"/>
      <c r="K19" s="304"/>
      <c r="L19" s="305"/>
      <c r="M19" s="305"/>
      <c r="N19" s="305"/>
      <c r="O19" s="255"/>
    </row>
    <row r="20" spans="2:17" s="256" customFormat="1" ht="66.75" customHeight="1" x14ac:dyDescent="0.25">
      <c r="J20" s="305"/>
      <c r="K20" s="304"/>
      <c r="L20" s="305"/>
      <c r="M20" s="305"/>
      <c r="N20" s="305"/>
      <c r="O20" s="255"/>
    </row>
    <row r="21" spans="2:17" s="256" customFormat="1" ht="19.5" customHeight="1" x14ac:dyDescent="0.25">
      <c r="B21" s="272"/>
      <c r="C21" s="272"/>
      <c r="D21" s="272"/>
      <c r="E21" s="272"/>
      <c r="F21" s="272"/>
      <c r="G21" s="272"/>
      <c r="H21" s="272"/>
      <c r="I21" s="272"/>
      <c r="J21" s="332"/>
      <c r="K21" s="304"/>
      <c r="L21" s="255"/>
      <c r="M21" s="332"/>
      <c r="N21" s="332"/>
      <c r="O21" s="332"/>
      <c r="P21" s="272"/>
      <c r="Q21" s="272"/>
    </row>
    <row r="22" spans="2:17" s="256" customFormat="1" ht="9" customHeight="1" x14ac:dyDescent="0.25">
      <c r="B22" s="272"/>
      <c r="C22" s="272"/>
      <c r="D22" s="272"/>
      <c r="E22" s="272"/>
      <c r="F22" s="272"/>
      <c r="G22" s="272"/>
      <c r="H22" s="272"/>
      <c r="I22" s="272"/>
      <c r="J22" s="332"/>
      <c r="K22" s="305"/>
      <c r="L22" s="255"/>
      <c r="M22" s="332"/>
      <c r="N22" s="332"/>
      <c r="O22" s="332"/>
      <c r="P22" s="272"/>
      <c r="Q22" s="272"/>
    </row>
    <row r="23" spans="2:17" s="256" customFormat="1" ht="15" customHeight="1" x14ac:dyDescent="0.25">
      <c r="B23" s="258"/>
      <c r="C23" s="258"/>
      <c r="D23" s="258"/>
      <c r="E23" s="258"/>
      <c r="F23" s="258"/>
      <c r="G23" s="258"/>
      <c r="H23" s="258"/>
      <c r="I23" s="258"/>
      <c r="J23" s="259"/>
      <c r="K23" s="259"/>
      <c r="L23" s="255"/>
      <c r="M23" s="255"/>
      <c r="N23" s="255"/>
      <c r="O23" s="255"/>
    </row>
    <row r="24" spans="2:17" s="256" customFormat="1" ht="15" customHeight="1" x14ac:dyDescent="0.25">
      <c r="B24" s="258"/>
      <c r="C24" s="258"/>
      <c r="D24" s="258"/>
      <c r="E24" s="258"/>
      <c r="F24" s="258"/>
      <c r="G24" s="333" t="s">
        <v>145</v>
      </c>
      <c r="H24" s="260" t="s">
        <v>146</v>
      </c>
      <c r="I24" s="258"/>
      <c r="J24" s="259"/>
      <c r="K24" s="259"/>
      <c r="L24" s="255"/>
      <c r="M24" s="255"/>
      <c r="N24" s="255"/>
      <c r="O24" s="255"/>
    </row>
    <row r="25" spans="2:17" s="256" customFormat="1" ht="15" customHeight="1" x14ac:dyDescent="0.25">
      <c r="B25" s="258"/>
      <c r="C25" s="258"/>
      <c r="D25" s="258"/>
      <c r="E25" s="258"/>
      <c r="F25" s="258"/>
      <c r="G25" s="333" t="s">
        <v>147</v>
      </c>
      <c r="H25" s="301" t="s">
        <v>148</v>
      </c>
      <c r="I25" s="258"/>
      <c r="J25" s="259"/>
      <c r="K25" s="259"/>
      <c r="L25" s="255"/>
      <c r="M25" s="255"/>
      <c r="N25" s="255"/>
      <c r="O25" s="255"/>
    </row>
    <row r="26" spans="2:17" s="256" customFormat="1" ht="15" customHeight="1" x14ac:dyDescent="0.25">
      <c r="B26" s="258"/>
      <c r="C26" s="258"/>
      <c r="D26" s="258"/>
      <c r="E26" s="258"/>
      <c r="F26" s="258"/>
      <c r="G26" s="333" t="s">
        <v>149</v>
      </c>
      <c r="H26" s="261" t="s">
        <v>150</v>
      </c>
      <c r="I26" s="258"/>
      <c r="J26" s="259"/>
      <c r="K26" s="259"/>
      <c r="L26" s="255"/>
      <c r="M26" s="255"/>
      <c r="N26" s="255"/>
      <c r="O26" s="255"/>
    </row>
    <row r="27" spans="2:17" s="264" customFormat="1" ht="36" customHeight="1" x14ac:dyDescent="0.2">
      <c r="B27" s="278" t="s">
        <v>153</v>
      </c>
      <c r="C27" s="262"/>
      <c r="D27" s="262"/>
      <c r="E27" s="262"/>
      <c r="F27" s="262"/>
      <c r="G27" s="262"/>
      <c r="H27" s="262"/>
      <c r="I27" s="262"/>
      <c r="J27" s="262"/>
      <c r="K27" s="262"/>
      <c r="L27" s="263"/>
      <c r="N27" s="263"/>
      <c r="O27" s="265"/>
    </row>
    <row r="28" spans="2:17" s="282" customFormat="1" ht="54.75" customHeight="1" x14ac:dyDescent="0.3">
      <c r="B28" s="327" t="s">
        <v>30</v>
      </c>
      <c r="C28" s="327" t="s">
        <v>90</v>
      </c>
      <c r="D28" s="327" t="s">
        <v>154</v>
      </c>
      <c r="E28" s="335" t="s">
        <v>79</v>
      </c>
      <c r="F28" s="334" t="s">
        <v>159</v>
      </c>
      <c r="G28" s="328" t="s">
        <v>144</v>
      </c>
      <c r="H28" s="328" t="s">
        <v>13</v>
      </c>
      <c r="I28" s="327" t="s">
        <v>155</v>
      </c>
      <c r="J28" s="328" t="s">
        <v>140</v>
      </c>
      <c r="K28" s="328" t="s">
        <v>139</v>
      </c>
      <c r="L28" s="279"/>
      <c r="M28" s="280"/>
      <c r="N28" s="279"/>
      <c r="O28" s="281"/>
    </row>
    <row r="29" spans="2:17" s="256" customFormat="1" ht="24.95" customHeight="1" x14ac:dyDescent="0.2">
      <c r="B29" s="283">
        <v>42550</v>
      </c>
      <c r="C29" s="284" t="s">
        <v>158</v>
      </c>
      <c r="D29" s="285" t="s">
        <v>203</v>
      </c>
      <c r="E29" s="329"/>
      <c r="F29" s="285"/>
      <c r="G29" s="286"/>
      <c r="H29" s="267" t="s">
        <v>150</v>
      </c>
      <c r="I29" s="266"/>
      <c r="J29" s="287">
        <v>15</v>
      </c>
      <c r="K29" s="268">
        <v>0</v>
      </c>
      <c r="L29" s="269"/>
      <c r="N29" s="269"/>
      <c r="O29" s="270"/>
    </row>
    <row r="30" spans="2:17" s="256" customFormat="1" ht="15.75" x14ac:dyDescent="0.2">
      <c r="B30" s="283">
        <v>42948</v>
      </c>
      <c r="C30" s="284" t="s">
        <v>212</v>
      </c>
      <c r="D30" s="285"/>
      <c r="E30" s="330"/>
      <c r="F30" s="285"/>
      <c r="G30" s="286"/>
      <c r="H30" s="271" t="s">
        <v>146</v>
      </c>
      <c r="I30" s="266"/>
      <c r="J30" s="287">
        <v>15</v>
      </c>
      <c r="K30" s="268">
        <v>0</v>
      </c>
      <c r="L30" s="269"/>
      <c r="M30" s="255"/>
      <c r="N30" s="269"/>
      <c r="O30" s="270"/>
    </row>
    <row r="31" spans="2:17" s="256" customFormat="1" ht="24.95" customHeight="1" x14ac:dyDescent="0.2">
      <c r="B31" s="283">
        <v>43069</v>
      </c>
      <c r="C31" s="284" t="s">
        <v>78</v>
      </c>
      <c r="D31" s="285"/>
      <c r="E31" s="285"/>
      <c r="F31" s="285"/>
      <c r="G31" s="286"/>
      <c r="H31" s="267" t="s">
        <v>146</v>
      </c>
      <c r="I31" s="266"/>
      <c r="J31" s="287">
        <v>15</v>
      </c>
      <c r="K31" s="268">
        <v>0</v>
      </c>
      <c r="L31" s="269"/>
      <c r="N31" s="269"/>
      <c r="O31" s="270"/>
    </row>
    <row r="32" spans="2:17" s="256" customFormat="1" ht="24.95" customHeight="1" x14ac:dyDescent="0.2">
      <c r="B32" s="283">
        <v>43159</v>
      </c>
      <c r="C32" s="284" t="s">
        <v>213</v>
      </c>
      <c r="D32" s="285"/>
      <c r="E32" s="285"/>
      <c r="F32" s="285"/>
      <c r="G32" s="286"/>
      <c r="H32" s="267" t="s">
        <v>146</v>
      </c>
      <c r="I32" s="266"/>
      <c r="J32" s="287">
        <v>15</v>
      </c>
      <c r="K32" s="268">
        <v>0</v>
      </c>
      <c r="L32" s="269"/>
      <c r="N32" s="269"/>
      <c r="O32" s="270"/>
    </row>
    <row r="33" spans="2:15" s="256" customFormat="1" ht="24.95" customHeight="1" x14ac:dyDescent="0.2">
      <c r="B33" s="283"/>
      <c r="C33" s="284"/>
      <c r="D33" s="285"/>
      <c r="E33" s="285"/>
      <c r="F33" s="285"/>
      <c r="G33" s="286"/>
      <c r="H33" s="267" t="s">
        <v>146</v>
      </c>
      <c r="I33" s="266"/>
      <c r="J33" s="287">
        <v>15</v>
      </c>
      <c r="K33" s="268">
        <v>0</v>
      </c>
      <c r="L33" s="269"/>
      <c r="N33" s="269"/>
      <c r="O33" s="270"/>
    </row>
    <row r="34" spans="2:15" s="256" customFormat="1" ht="24.95" customHeight="1" x14ac:dyDescent="0.2">
      <c r="B34" s="283"/>
      <c r="C34" s="284"/>
      <c r="D34" s="285"/>
      <c r="E34" s="285"/>
      <c r="F34" s="285"/>
      <c r="G34" s="286"/>
      <c r="H34" s="267" t="s">
        <v>146</v>
      </c>
      <c r="I34" s="266"/>
      <c r="J34" s="288">
        <v>-10</v>
      </c>
      <c r="K34" s="268">
        <v>0</v>
      </c>
      <c r="L34" s="269"/>
      <c r="N34" s="269"/>
      <c r="O34" s="270"/>
    </row>
    <row r="35" spans="2:15" s="256" customFormat="1" ht="24.95" customHeight="1" x14ac:dyDescent="0.2">
      <c r="B35" s="283"/>
      <c r="C35" s="284"/>
      <c r="D35" s="285"/>
      <c r="E35" s="285"/>
      <c r="F35" s="285"/>
      <c r="G35" s="286"/>
      <c r="H35" s="267" t="s">
        <v>146</v>
      </c>
      <c r="I35" s="266"/>
      <c r="J35" s="287">
        <v>10</v>
      </c>
      <c r="K35" s="268">
        <v>0</v>
      </c>
      <c r="L35" s="269"/>
      <c r="N35" s="269"/>
      <c r="O35" s="270"/>
    </row>
    <row r="36" spans="2:15" s="256" customFormat="1" ht="24.95" customHeight="1" x14ac:dyDescent="0.25">
      <c r="B36" s="283"/>
      <c r="C36" s="284"/>
      <c r="D36" s="285"/>
      <c r="E36" s="285"/>
      <c r="F36" s="285"/>
      <c r="G36" s="286"/>
      <c r="H36" s="267" t="s">
        <v>146</v>
      </c>
      <c r="I36" s="266"/>
      <c r="J36" s="287">
        <v>15</v>
      </c>
      <c r="K36" s="268">
        <v>0</v>
      </c>
    </row>
    <row r="37" spans="2:15" s="256" customFormat="1" ht="24.95" customHeight="1" x14ac:dyDescent="0.25">
      <c r="B37" s="283"/>
      <c r="C37" s="284"/>
      <c r="D37" s="285"/>
      <c r="E37" s="285"/>
      <c r="F37" s="285"/>
      <c r="G37" s="286"/>
      <c r="H37" s="267" t="s">
        <v>146</v>
      </c>
      <c r="I37" s="266"/>
      <c r="J37" s="288">
        <v>10</v>
      </c>
      <c r="K37" s="268">
        <v>0</v>
      </c>
    </row>
    <row r="38" spans="2:15" s="256" customFormat="1" ht="24.95" customHeight="1" x14ac:dyDescent="0.25">
      <c r="B38" s="283"/>
      <c r="C38" s="284"/>
      <c r="D38" s="285"/>
      <c r="E38" s="285"/>
      <c r="F38" s="285"/>
      <c r="G38" s="286"/>
      <c r="H38" s="267" t="s">
        <v>146</v>
      </c>
      <c r="I38" s="266"/>
      <c r="J38" s="288">
        <v>15</v>
      </c>
      <c r="K38" s="268">
        <v>0</v>
      </c>
    </row>
    <row r="39" spans="2:15" s="256" customFormat="1" ht="24.95" customHeight="1" x14ac:dyDescent="0.25">
      <c r="B39" s="283"/>
      <c r="C39" s="284"/>
      <c r="D39" s="285"/>
      <c r="E39" s="285"/>
      <c r="F39" s="285"/>
      <c r="G39" s="286"/>
      <c r="H39" s="267" t="s">
        <v>146</v>
      </c>
      <c r="I39" s="266"/>
      <c r="J39" s="288">
        <v>15</v>
      </c>
      <c r="K39" s="268">
        <v>0</v>
      </c>
    </row>
    <row r="40" spans="2:15" s="256" customFormat="1" ht="24.95" customHeight="1" x14ac:dyDescent="0.25">
      <c r="B40" s="283"/>
      <c r="C40" s="284"/>
      <c r="D40" s="285"/>
      <c r="E40" s="285"/>
      <c r="F40" s="285"/>
      <c r="G40" s="286"/>
      <c r="H40" s="267"/>
      <c r="I40" s="266"/>
      <c r="J40" s="288"/>
      <c r="K40" s="268">
        <v>0</v>
      </c>
    </row>
    <row r="41" spans="2:15" s="256" customFormat="1" ht="24.95" customHeight="1" x14ac:dyDescent="0.25">
      <c r="B41" s="283"/>
      <c r="C41" s="284"/>
      <c r="D41" s="285"/>
      <c r="E41" s="285"/>
      <c r="F41" s="285"/>
      <c r="G41" s="286"/>
      <c r="H41" s="267"/>
      <c r="I41" s="266"/>
      <c r="J41" s="288"/>
      <c r="K41" s="268">
        <v>0</v>
      </c>
    </row>
    <row r="42" spans="2:15" ht="19.5" customHeight="1" x14ac:dyDescent="0.25">
      <c r="B42" s="283"/>
      <c r="C42" s="284"/>
      <c r="D42" s="285"/>
      <c r="E42" s="285"/>
      <c r="F42" s="285"/>
      <c r="G42" s="286"/>
      <c r="H42" s="267"/>
      <c r="I42" s="266"/>
      <c r="J42" s="288"/>
      <c r="K42" s="268">
        <v>0</v>
      </c>
    </row>
    <row r="43" spans="2:15" ht="19.5" customHeight="1" x14ac:dyDescent="0.25">
      <c r="B43" s="283"/>
      <c r="C43" s="284"/>
      <c r="D43" s="285"/>
      <c r="E43" s="285"/>
      <c r="F43" s="285"/>
      <c r="G43" s="286"/>
      <c r="H43" s="267"/>
      <c r="I43" s="266"/>
      <c r="J43" s="288"/>
      <c r="K43" s="268">
        <v>0</v>
      </c>
    </row>
    <row r="44" spans="2:15" s="256" customFormat="1" ht="24.95" customHeight="1" x14ac:dyDescent="0.25">
      <c r="B44" s="283"/>
      <c r="C44" s="284"/>
      <c r="D44" s="285"/>
      <c r="E44" s="285"/>
      <c r="F44" s="285"/>
      <c r="G44" s="286"/>
      <c r="H44" s="267"/>
      <c r="I44" s="302"/>
      <c r="J44" s="288"/>
      <c r="K44" s="268">
        <v>0</v>
      </c>
    </row>
    <row r="45" spans="2:15" s="256" customFormat="1" ht="24.95" customHeight="1" x14ac:dyDescent="0.25">
      <c r="B45" s="283"/>
      <c r="C45" s="284"/>
      <c r="D45" s="285"/>
      <c r="E45" s="285"/>
      <c r="F45" s="285"/>
      <c r="G45" s="286"/>
      <c r="H45" s="267"/>
      <c r="I45" s="302"/>
      <c r="J45" s="288"/>
      <c r="K45" s="268">
        <v>0</v>
      </c>
    </row>
    <row r="46" spans="2:15" s="256" customFormat="1" ht="24.95" customHeight="1" x14ac:dyDescent="0.25">
      <c r="B46" s="283"/>
      <c r="C46" s="284"/>
      <c r="D46" s="285"/>
      <c r="E46" s="285"/>
      <c r="F46" s="285"/>
      <c r="G46" s="286"/>
      <c r="H46" s="267"/>
      <c r="I46" s="302"/>
      <c r="J46" s="288"/>
      <c r="K46" s="268">
        <v>0</v>
      </c>
    </row>
    <row r="47" spans="2:15" s="256" customFormat="1" ht="24.95" customHeight="1" x14ac:dyDescent="0.25">
      <c r="B47" s="283"/>
      <c r="C47" s="284"/>
      <c r="D47" s="285"/>
      <c r="E47" s="285"/>
      <c r="F47" s="285"/>
      <c r="G47" s="286"/>
      <c r="H47" s="267"/>
      <c r="I47" s="302"/>
      <c r="J47" s="288"/>
      <c r="K47" s="268">
        <v>0</v>
      </c>
    </row>
    <row r="48" spans="2:15" s="256" customFormat="1" ht="24.95" customHeight="1" x14ac:dyDescent="0.25">
      <c r="B48" s="283"/>
      <c r="C48" s="284"/>
      <c r="D48" s="285"/>
      <c r="E48" s="285"/>
      <c r="F48" s="285"/>
      <c r="G48" s="286"/>
      <c r="H48" s="267"/>
      <c r="I48" s="302"/>
      <c r="J48" s="288"/>
      <c r="K48" s="268">
        <v>0</v>
      </c>
    </row>
    <row r="49" spans="2:11" s="256" customFormat="1" ht="24.95" customHeight="1" x14ac:dyDescent="0.25">
      <c r="B49" s="283"/>
      <c r="C49" s="284"/>
      <c r="D49" s="285"/>
      <c r="E49" s="285"/>
      <c r="F49" s="285"/>
      <c r="G49" s="286"/>
      <c r="H49" s="267"/>
      <c r="I49" s="302"/>
      <c r="J49" s="288"/>
      <c r="K49" s="268">
        <v>0</v>
      </c>
    </row>
    <row r="50" spans="2:11" ht="19.5" customHeight="1" x14ac:dyDescent="0.25">
      <c r="B50" s="283"/>
      <c r="C50" s="284"/>
      <c r="D50" s="285"/>
      <c r="E50" s="285"/>
      <c r="F50" s="285"/>
      <c r="G50" s="286"/>
      <c r="H50" s="267"/>
      <c r="I50" s="302"/>
      <c r="J50" s="288"/>
      <c r="K50" s="268"/>
    </row>
    <row r="51" spans="2:11" ht="19.5" customHeight="1" x14ac:dyDescent="0.25">
      <c r="B51" s="283"/>
      <c r="C51" s="284"/>
      <c r="D51" s="285"/>
      <c r="E51" s="285"/>
      <c r="F51" s="285"/>
      <c r="G51" s="286"/>
      <c r="H51" s="267"/>
      <c r="I51" s="302"/>
      <c r="J51" s="288"/>
      <c r="K51" s="268">
        <v>0</v>
      </c>
    </row>
    <row r="52" spans="2:11" ht="19.5" customHeight="1" x14ac:dyDescent="0.2">
      <c r="B52" s="289"/>
      <c r="C52" s="358"/>
      <c r="D52" s="358"/>
      <c r="E52" s="358"/>
      <c r="F52" s="358"/>
      <c r="G52" s="358"/>
      <c r="H52" s="290"/>
      <c r="I52" s="290"/>
      <c r="J52" s="290"/>
      <c r="K52" s="290"/>
    </row>
  </sheetData>
  <sheetProtection formatColumns="0" insertColumns="0" insertHyperlinks="0" selectLockedCells="1"/>
  <protectedRanges>
    <protectedRange sqref="E29" name="Bereich1_2_4_1"/>
  </protectedRanges>
  <dataConsolidate/>
  <mergeCells count="6">
    <mergeCell ref="C52:G52"/>
    <mergeCell ref="T2:U2"/>
    <mergeCell ref="T3:U3"/>
    <mergeCell ref="H4:I4"/>
    <mergeCell ref="H3:I3"/>
    <mergeCell ref="H2:N2"/>
  </mergeCells>
  <conditionalFormatting sqref="B40:K51 K29:K39">
    <cfRule type="expression" dxfId="20" priority="14">
      <formula>INT(ROW()/2)=ROW()/2</formula>
    </cfRule>
  </conditionalFormatting>
  <conditionalFormatting sqref="H40:H51">
    <cfRule type="expression" dxfId="19" priority="13">
      <formula>$H40=$H$24</formula>
    </cfRule>
  </conditionalFormatting>
  <conditionalFormatting sqref="H40:H51">
    <cfRule type="expression" dxfId="18" priority="11">
      <formula>$H40=$H$26</formula>
    </cfRule>
    <cfRule type="expression" dxfId="17" priority="12">
      <formula>$H40=$H$25</formula>
    </cfRule>
  </conditionalFormatting>
  <conditionalFormatting sqref="B29:D30 F29:J30 B31:J39">
    <cfRule type="expression" dxfId="16" priority="5">
      <formula>INT(ROW()/2)=ROW()/2</formula>
    </cfRule>
  </conditionalFormatting>
  <conditionalFormatting sqref="H30:H39">
    <cfRule type="expression" dxfId="15" priority="4">
      <formula>$H30=$H$24</formula>
    </cfRule>
  </conditionalFormatting>
  <conditionalFormatting sqref="H29:H39">
    <cfRule type="expression" dxfId="14" priority="2">
      <formula>$H29=$H$26</formula>
    </cfRule>
    <cfRule type="expression" dxfId="13" priority="3">
      <formula>$H29=$H$25</formula>
    </cfRule>
  </conditionalFormatting>
  <conditionalFormatting sqref="H29">
    <cfRule type="expression" dxfId="12" priority="1">
      <formula>$H29=$H$24</formula>
    </cfRule>
  </conditionalFormatting>
  <dataValidations count="2">
    <dataValidation type="list" allowBlank="1" showInputMessage="1" showErrorMessage="1" sqref="G29:G51">
      <formula1>Verantwortlich</formula1>
    </dataValidation>
    <dataValidation type="list" allowBlank="1" showInputMessage="1" showErrorMessage="1" sqref="H29:H51">
      <formula1>Status</formula1>
    </dataValidation>
  </dataValidations>
  <printOptions horizontalCentered="1" verticalCentered="1"/>
  <pageMargins left="0.59055118110236227" right="0.59055118110236227" top="0.70866141732283472" bottom="0.70866141732283472" header="0.31496062992125984" footer="0.31496062992125984"/>
  <pageSetup paperSize="8" scale="59" orientation="landscape" r:id="rId1"/>
  <headerFooter>
    <oddHeader>&amp;L&amp;"Calibri,Standard"&amp;12&amp;K99D709www.meinevorlagen.com&amp;C&amp;"Calibri,Fett"&amp;30&amp;K99D709:: Meilensteine ::
&amp;"Calibri,Standard"&amp;12&amp;K01+045Druck: &amp;D um &amp;T Uhr&amp;R&amp;"Calibri,Standard"&amp;12&amp;K99D709info@meinevorlagen.com</oddHeader>
    <oddFooter>&amp;L&amp;"Calibri,Standard"&amp;12&amp;Z&amp;F</oddFooter>
  </headerFooter>
  <drawing r:id="rId2"/>
  <legacyDrawing r:id="rId3"/>
  <controls>
    <mc:AlternateContent xmlns:mc="http://schemas.openxmlformats.org/markup-compatibility/2006">
      <mc:Choice Requires="x14">
        <control shapeId="555009" r:id="rId4" name="FirmenLogo">
          <controlPr defaultSize="0" autoLine="0" autoPict="0" r:id="rId5">
            <anchor moveWithCells="1">
              <from>
                <xdr:col>14</xdr:col>
                <xdr:colOff>400050</xdr:colOff>
                <xdr:row>0</xdr:row>
                <xdr:rowOff>619125</xdr:rowOff>
              </from>
              <to>
                <xdr:col>17</xdr:col>
                <xdr:colOff>333375</xdr:colOff>
                <xdr:row>3</xdr:row>
                <xdr:rowOff>200025</xdr:rowOff>
              </to>
            </anchor>
          </controlPr>
        </control>
      </mc:Choice>
      <mc:Fallback>
        <control shapeId="555009" r:id="rId4" name="FirmenLogo"/>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story1">
    <tabColor theme="0" tint="-0.34998626667073579"/>
  </sheetPr>
  <dimension ref="A1:DN6"/>
  <sheetViews>
    <sheetView workbookViewId="0">
      <selection sqref="A1:XFD1"/>
    </sheetView>
  </sheetViews>
  <sheetFormatPr baseColWidth="10" defaultRowHeight="15" x14ac:dyDescent="0.25"/>
  <cols>
    <col min="2" max="2" width="46.42578125" customWidth="1"/>
    <col min="3" max="74" width="11.7109375" style="2" customWidth="1"/>
  </cols>
  <sheetData>
    <row r="1" spans="1:118" s="78" customFormat="1" ht="15.75" thickBot="1" x14ac:dyDescent="0.3">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79"/>
      <c r="BM1" s="79"/>
      <c r="BN1" s="79"/>
      <c r="BO1" s="79"/>
      <c r="BP1" s="79"/>
      <c r="BQ1" s="79"/>
      <c r="BR1" s="79"/>
      <c r="BS1" s="79"/>
      <c r="BT1" s="79"/>
      <c r="BU1" s="79"/>
      <c r="BV1" s="79"/>
    </row>
    <row r="2" spans="1:118" ht="21" thickBot="1" x14ac:dyDescent="0.3">
      <c r="A2" s="71"/>
      <c r="B2" s="71"/>
      <c r="C2" s="364">
        <v>1</v>
      </c>
      <c r="D2" s="372"/>
      <c r="E2" s="372"/>
      <c r="F2" s="373"/>
      <c r="G2" s="364">
        <v>2</v>
      </c>
      <c r="H2" s="372"/>
      <c r="I2" s="372"/>
      <c r="J2" s="373"/>
      <c r="K2" s="374">
        <v>3</v>
      </c>
      <c r="L2" s="374"/>
      <c r="M2" s="374"/>
      <c r="N2" s="374"/>
      <c r="O2" s="374">
        <v>4</v>
      </c>
      <c r="P2" s="374"/>
      <c r="Q2" s="374"/>
      <c r="R2" s="374"/>
      <c r="S2" s="374">
        <v>5</v>
      </c>
      <c r="T2" s="374"/>
      <c r="U2" s="374"/>
      <c r="V2" s="374"/>
      <c r="W2" s="374">
        <v>6</v>
      </c>
      <c r="X2" s="374"/>
      <c r="Y2" s="374"/>
      <c r="Z2" s="374"/>
      <c r="AA2" s="374">
        <v>7</v>
      </c>
      <c r="AB2" s="374"/>
      <c r="AC2" s="374"/>
      <c r="AD2" s="374"/>
      <c r="AE2" s="374">
        <v>8</v>
      </c>
      <c r="AF2" s="374"/>
      <c r="AG2" s="374"/>
      <c r="AH2" s="374"/>
      <c r="AI2" s="374">
        <v>9</v>
      </c>
      <c r="AJ2" s="374"/>
      <c r="AK2" s="374"/>
      <c r="AL2" s="374"/>
      <c r="AM2" s="374">
        <v>10</v>
      </c>
      <c r="AN2" s="374"/>
      <c r="AO2" s="374"/>
      <c r="AP2" s="374"/>
      <c r="AQ2" s="364">
        <v>11</v>
      </c>
      <c r="AR2" s="365"/>
      <c r="AS2" s="365"/>
      <c r="AT2" s="365"/>
      <c r="AU2" s="374">
        <v>12</v>
      </c>
      <c r="AV2" s="374"/>
      <c r="AW2" s="374"/>
      <c r="AX2" s="374"/>
      <c r="AY2" s="374">
        <v>13</v>
      </c>
      <c r="AZ2" s="374"/>
      <c r="BA2" s="374"/>
      <c r="BB2" s="374"/>
      <c r="BC2" s="374">
        <v>14</v>
      </c>
      <c r="BD2" s="374"/>
      <c r="BE2" s="374"/>
      <c r="BF2" s="374"/>
      <c r="BG2" s="374">
        <v>15</v>
      </c>
      <c r="BH2" s="374"/>
      <c r="BI2" s="374"/>
      <c r="BJ2" s="374"/>
      <c r="BK2" s="374">
        <v>16</v>
      </c>
      <c r="BL2" s="374"/>
      <c r="BM2" s="374"/>
      <c r="BN2" s="374"/>
      <c r="BO2" s="374">
        <v>17</v>
      </c>
      <c r="BP2" s="374"/>
      <c r="BQ2" s="374"/>
      <c r="BR2" s="374"/>
      <c r="BS2" s="374">
        <v>18</v>
      </c>
      <c r="BT2" s="374"/>
      <c r="BU2" s="374"/>
      <c r="BV2" s="374"/>
      <c r="BW2" s="374">
        <v>19</v>
      </c>
      <c r="BX2" s="374"/>
      <c r="BY2" s="374"/>
      <c r="BZ2" s="374"/>
      <c r="CA2" s="374">
        <v>20</v>
      </c>
      <c r="CB2" s="374"/>
      <c r="CC2" s="374"/>
      <c r="CD2" s="374"/>
      <c r="CE2" s="374">
        <v>21</v>
      </c>
      <c r="CF2" s="374"/>
      <c r="CG2" s="374"/>
      <c r="CH2" s="374"/>
      <c r="CI2" s="374">
        <v>22</v>
      </c>
      <c r="CJ2" s="374"/>
      <c r="CK2" s="374"/>
      <c r="CL2" s="374"/>
      <c r="CM2" s="374">
        <v>23</v>
      </c>
      <c r="CN2" s="374"/>
      <c r="CO2" s="374"/>
      <c r="CP2" s="374"/>
      <c r="CQ2" s="374">
        <v>24</v>
      </c>
      <c r="CR2" s="374"/>
      <c r="CS2" s="374"/>
      <c r="CT2" s="374"/>
      <c r="CU2" s="374">
        <v>25</v>
      </c>
      <c r="CV2" s="374"/>
      <c r="CW2" s="374"/>
      <c r="CX2" s="374"/>
      <c r="CY2" s="374">
        <v>26</v>
      </c>
      <c r="CZ2" s="374"/>
      <c r="DA2" s="374"/>
      <c r="DB2" s="374"/>
      <c r="DC2" s="374">
        <v>27</v>
      </c>
      <c r="DD2" s="374"/>
      <c r="DE2" s="374"/>
      <c r="DF2" s="374"/>
      <c r="DG2" s="374">
        <v>28</v>
      </c>
      <c r="DH2" s="374"/>
      <c r="DI2" s="374"/>
      <c r="DJ2" s="374"/>
      <c r="DK2" s="374">
        <v>29</v>
      </c>
      <c r="DL2" s="374"/>
      <c r="DM2" s="374"/>
      <c r="DN2" s="374"/>
    </row>
    <row r="3" spans="1:118" ht="40.5" customHeight="1" thickBot="1" x14ac:dyDescent="0.35">
      <c r="A3" s="72"/>
      <c r="B3" s="72"/>
      <c r="C3" s="367" t="s">
        <v>66</v>
      </c>
      <c r="D3" s="368"/>
      <c r="E3" s="368"/>
      <c r="F3" s="369"/>
      <c r="G3" s="370" t="s">
        <v>67</v>
      </c>
      <c r="H3" s="368"/>
      <c r="I3" s="368"/>
      <c r="J3" s="371"/>
      <c r="K3" s="363" t="s">
        <v>108</v>
      </c>
      <c r="L3" s="363"/>
      <c r="M3" s="363"/>
      <c r="N3" s="363"/>
      <c r="O3" s="363" t="s">
        <v>109</v>
      </c>
      <c r="P3" s="363"/>
      <c r="Q3" s="363"/>
      <c r="R3" s="363"/>
      <c r="S3" s="363" t="s">
        <v>68</v>
      </c>
      <c r="T3" s="363"/>
      <c r="U3" s="363"/>
      <c r="V3" s="363"/>
      <c r="W3" s="363" t="s">
        <v>69</v>
      </c>
      <c r="X3" s="363"/>
      <c r="Y3" s="363"/>
      <c r="Z3" s="363"/>
      <c r="AA3" s="363" t="s">
        <v>70</v>
      </c>
      <c r="AB3" s="363"/>
      <c r="AC3" s="363"/>
      <c r="AD3" s="363"/>
      <c r="AE3" s="363" t="s">
        <v>71</v>
      </c>
      <c r="AF3" s="363"/>
      <c r="AG3" s="363"/>
      <c r="AH3" s="363"/>
      <c r="AI3" s="363" t="s">
        <v>72</v>
      </c>
      <c r="AJ3" s="363"/>
      <c r="AK3" s="363"/>
      <c r="AL3" s="363"/>
      <c r="AM3" s="363" t="s">
        <v>73</v>
      </c>
      <c r="AN3" s="363"/>
      <c r="AO3" s="363"/>
      <c r="AP3" s="363"/>
      <c r="AQ3" s="367" t="s">
        <v>74</v>
      </c>
      <c r="AR3" s="375"/>
      <c r="AS3" s="375"/>
      <c r="AT3" s="375"/>
      <c r="AU3" s="363" t="s">
        <v>82</v>
      </c>
      <c r="AV3" s="363"/>
      <c r="AW3" s="363"/>
      <c r="AX3" s="363"/>
      <c r="AY3" s="363" t="s">
        <v>75</v>
      </c>
      <c r="AZ3" s="363"/>
      <c r="BA3" s="363"/>
      <c r="BB3" s="363"/>
      <c r="BC3" s="363" t="s">
        <v>76</v>
      </c>
      <c r="BD3" s="363"/>
      <c r="BE3" s="363"/>
      <c r="BF3" s="363"/>
      <c r="BG3" s="363" t="s">
        <v>77</v>
      </c>
      <c r="BH3" s="363"/>
      <c r="BI3" s="363"/>
      <c r="BJ3" s="363"/>
      <c r="BK3" s="363" t="s">
        <v>83</v>
      </c>
      <c r="BL3" s="363"/>
      <c r="BM3" s="363"/>
      <c r="BN3" s="363"/>
      <c r="BO3" s="363" t="s">
        <v>78</v>
      </c>
      <c r="BP3" s="363"/>
      <c r="BQ3" s="363"/>
      <c r="BR3" s="363"/>
      <c r="BS3" s="363" t="s">
        <v>142</v>
      </c>
      <c r="BT3" s="363"/>
      <c r="BU3" s="363"/>
      <c r="BV3" s="363"/>
      <c r="BW3" s="363" t="s">
        <v>143</v>
      </c>
      <c r="BX3" s="363"/>
      <c r="BY3" s="363"/>
      <c r="BZ3" s="363"/>
      <c r="CA3" s="363" t="s">
        <v>130</v>
      </c>
      <c r="CB3" s="363"/>
      <c r="CC3" s="363"/>
      <c r="CD3" s="363"/>
      <c r="CE3" s="363" t="s">
        <v>131</v>
      </c>
      <c r="CF3" s="363"/>
      <c r="CG3" s="363"/>
      <c r="CH3" s="363"/>
      <c r="CI3" s="363" t="s">
        <v>136</v>
      </c>
      <c r="CJ3" s="363"/>
      <c r="CK3" s="363"/>
      <c r="CL3" s="363"/>
      <c r="CM3" s="363" t="s">
        <v>132</v>
      </c>
      <c r="CN3" s="363"/>
      <c r="CO3" s="363"/>
      <c r="CP3" s="363"/>
      <c r="CQ3" s="363" t="s">
        <v>133</v>
      </c>
      <c r="CR3" s="363"/>
      <c r="CS3" s="363"/>
      <c r="CT3" s="363"/>
      <c r="CU3" s="363" t="s">
        <v>134</v>
      </c>
      <c r="CV3" s="363"/>
      <c r="CW3" s="363"/>
      <c r="CX3" s="363"/>
      <c r="CY3" s="363" t="s">
        <v>135</v>
      </c>
      <c r="CZ3" s="363"/>
      <c r="DA3" s="363"/>
      <c r="DB3" s="363"/>
      <c r="DC3" s="363" t="s">
        <v>78</v>
      </c>
      <c r="DD3" s="363"/>
      <c r="DE3" s="363"/>
      <c r="DF3" s="363"/>
      <c r="DG3" s="363" t="s">
        <v>137</v>
      </c>
      <c r="DH3" s="363"/>
      <c r="DI3" s="363"/>
      <c r="DJ3" s="363"/>
      <c r="DK3" s="363" t="s">
        <v>138</v>
      </c>
      <c r="DL3" s="363"/>
      <c r="DM3" s="363"/>
      <c r="DN3" s="363"/>
    </row>
    <row r="4" spans="1:118" ht="21" thickBot="1" x14ac:dyDescent="0.3">
      <c r="A4" s="376" t="s">
        <v>79</v>
      </c>
      <c r="B4" s="376" t="s">
        <v>80</v>
      </c>
      <c r="C4" s="364" t="s">
        <v>164</v>
      </c>
      <c r="D4" s="365"/>
      <c r="E4" s="365"/>
      <c r="F4" s="366"/>
      <c r="G4" s="364" t="s">
        <v>164</v>
      </c>
      <c r="H4" s="365"/>
      <c r="I4" s="365"/>
      <c r="J4" s="366"/>
      <c r="K4" s="364" t="s">
        <v>164</v>
      </c>
      <c r="L4" s="365"/>
      <c r="M4" s="365"/>
      <c r="N4" s="366"/>
      <c r="O4" s="364" t="s">
        <v>164</v>
      </c>
      <c r="P4" s="365"/>
      <c r="Q4" s="365"/>
      <c r="R4" s="366"/>
      <c r="S4" s="364" t="s">
        <v>164</v>
      </c>
      <c r="T4" s="365"/>
      <c r="U4" s="365"/>
      <c r="V4" s="366"/>
      <c r="W4" s="364" t="s">
        <v>164</v>
      </c>
      <c r="X4" s="365"/>
      <c r="Y4" s="365"/>
      <c r="Z4" s="366"/>
      <c r="AA4" s="364" t="s">
        <v>164</v>
      </c>
      <c r="AB4" s="365"/>
      <c r="AC4" s="365"/>
      <c r="AD4" s="366"/>
      <c r="AE4" s="364" t="s">
        <v>164</v>
      </c>
      <c r="AF4" s="365"/>
      <c r="AG4" s="365"/>
      <c r="AH4" s="366"/>
      <c r="AI4" s="364" t="s">
        <v>164</v>
      </c>
      <c r="AJ4" s="365"/>
      <c r="AK4" s="365"/>
      <c r="AL4" s="366"/>
      <c r="AM4" s="364" t="s">
        <v>164</v>
      </c>
      <c r="AN4" s="365"/>
      <c r="AO4" s="365"/>
      <c r="AP4" s="366"/>
      <c r="AQ4" s="364" t="s">
        <v>164</v>
      </c>
      <c r="AR4" s="365"/>
      <c r="AS4" s="365"/>
      <c r="AT4" s="366"/>
      <c r="AU4" s="364" t="s">
        <v>164</v>
      </c>
      <c r="AV4" s="365"/>
      <c r="AW4" s="365"/>
      <c r="AX4" s="366"/>
      <c r="AY4" s="364" t="s">
        <v>164</v>
      </c>
      <c r="AZ4" s="365"/>
      <c r="BA4" s="365"/>
      <c r="BB4" s="366"/>
      <c r="BC4" s="364" t="s">
        <v>164</v>
      </c>
      <c r="BD4" s="365"/>
      <c r="BE4" s="365"/>
      <c r="BF4" s="366"/>
      <c r="BG4" s="364" t="s">
        <v>164</v>
      </c>
      <c r="BH4" s="365"/>
      <c r="BI4" s="365"/>
      <c r="BJ4" s="366"/>
      <c r="BK4" s="364" t="s">
        <v>164</v>
      </c>
      <c r="BL4" s="365"/>
      <c r="BM4" s="365"/>
      <c r="BN4" s="366"/>
      <c r="BO4" s="364" t="s">
        <v>164</v>
      </c>
      <c r="BP4" s="365"/>
      <c r="BQ4" s="365"/>
      <c r="BR4" s="366"/>
      <c r="BS4" s="364" t="s">
        <v>164</v>
      </c>
      <c r="BT4" s="365"/>
      <c r="BU4" s="365"/>
      <c r="BV4" s="366"/>
      <c r="BW4" s="364" t="s">
        <v>164</v>
      </c>
      <c r="BX4" s="365"/>
      <c r="BY4" s="365"/>
      <c r="BZ4" s="366"/>
      <c r="CA4" s="364" t="s">
        <v>164</v>
      </c>
      <c r="CB4" s="365"/>
      <c r="CC4" s="365"/>
      <c r="CD4" s="366"/>
      <c r="CE4" s="364" t="s">
        <v>164</v>
      </c>
      <c r="CF4" s="365"/>
      <c r="CG4" s="365"/>
      <c r="CH4" s="366"/>
      <c r="CI4" s="364" t="s">
        <v>164</v>
      </c>
      <c r="CJ4" s="365"/>
      <c r="CK4" s="365"/>
      <c r="CL4" s="366"/>
      <c r="CM4" s="364" t="s">
        <v>164</v>
      </c>
      <c r="CN4" s="365"/>
      <c r="CO4" s="365"/>
      <c r="CP4" s="366"/>
      <c r="CQ4" s="364" t="s">
        <v>164</v>
      </c>
      <c r="CR4" s="365"/>
      <c r="CS4" s="365"/>
      <c r="CT4" s="366"/>
      <c r="CU4" s="364" t="s">
        <v>164</v>
      </c>
      <c r="CV4" s="365"/>
      <c r="CW4" s="365"/>
      <c r="CX4" s="366"/>
      <c r="CY4" s="364" t="s">
        <v>164</v>
      </c>
      <c r="CZ4" s="365"/>
      <c r="DA4" s="365"/>
      <c r="DB4" s="366"/>
      <c r="DC4" s="364" t="s">
        <v>164</v>
      </c>
      <c r="DD4" s="365"/>
      <c r="DE4" s="365"/>
      <c r="DF4" s="366"/>
      <c r="DG4" s="364" t="s">
        <v>164</v>
      </c>
      <c r="DH4" s="365"/>
      <c r="DI4" s="365"/>
      <c r="DJ4" s="366"/>
      <c r="DK4" s="364" t="s">
        <v>164</v>
      </c>
      <c r="DL4" s="365"/>
      <c r="DM4" s="365"/>
      <c r="DN4" s="366"/>
    </row>
    <row r="5" spans="1:118" ht="15.75" thickBot="1" x14ac:dyDescent="0.3">
      <c r="A5" s="376"/>
      <c r="B5" s="376"/>
      <c r="C5" s="337" t="s">
        <v>86</v>
      </c>
      <c r="D5" s="337" t="s">
        <v>30</v>
      </c>
      <c r="E5" s="337" t="s">
        <v>87</v>
      </c>
      <c r="F5" s="337" t="s">
        <v>88</v>
      </c>
      <c r="G5" s="337" t="s">
        <v>86</v>
      </c>
      <c r="H5" s="337" t="s">
        <v>30</v>
      </c>
      <c r="I5" s="337" t="s">
        <v>87</v>
      </c>
      <c r="J5" s="337" t="s">
        <v>88</v>
      </c>
      <c r="K5" s="337" t="s">
        <v>86</v>
      </c>
      <c r="L5" s="337" t="s">
        <v>30</v>
      </c>
      <c r="M5" s="337" t="s">
        <v>87</v>
      </c>
      <c r="N5" s="337" t="s">
        <v>88</v>
      </c>
      <c r="O5" s="337" t="s">
        <v>86</v>
      </c>
      <c r="P5" s="337" t="s">
        <v>30</v>
      </c>
      <c r="Q5" s="337" t="s">
        <v>87</v>
      </c>
      <c r="R5" s="337" t="s">
        <v>88</v>
      </c>
      <c r="S5" s="337" t="s">
        <v>86</v>
      </c>
      <c r="T5" s="337" t="s">
        <v>30</v>
      </c>
      <c r="U5" s="337" t="s">
        <v>87</v>
      </c>
      <c r="V5" s="337" t="s">
        <v>88</v>
      </c>
      <c r="W5" s="337" t="s">
        <v>86</v>
      </c>
      <c r="X5" s="337" t="s">
        <v>30</v>
      </c>
      <c r="Y5" s="337" t="s">
        <v>87</v>
      </c>
      <c r="Z5" s="337" t="s">
        <v>88</v>
      </c>
      <c r="AA5" s="337" t="s">
        <v>86</v>
      </c>
      <c r="AB5" s="337" t="s">
        <v>30</v>
      </c>
      <c r="AC5" s="337" t="s">
        <v>87</v>
      </c>
      <c r="AD5" s="337" t="s">
        <v>88</v>
      </c>
      <c r="AE5" s="337" t="s">
        <v>86</v>
      </c>
      <c r="AF5" s="337" t="s">
        <v>30</v>
      </c>
      <c r="AG5" s="337" t="s">
        <v>87</v>
      </c>
      <c r="AH5" s="337" t="s">
        <v>88</v>
      </c>
      <c r="AI5" s="337" t="s">
        <v>86</v>
      </c>
      <c r="AJ5" s="337" t="s">
        <v>30</v>
      </c>
      <c r="AK5" s="337" t="s">
        <v>87</v>
      </c>
      <c r="AL5" s="337" t="s">
        <v>88</v>
      </c>
      <c r="AM5" s="337" t="s">
        <v>86</v>
      </c>
      <c r="AN5" s="337" t="s">
        <v>30</v>
      </c>
      <c r="AO5" s="337" t="s">
        <v>87</v>
      </c>
      <c r="AP5" s="337" t="s">
        <v>88</v>
      </c>
      <c r="AQ5" s="337" t="s">
        <v>86</v>
      </c>
      <c r="AR5" s="337" t="s">
        <v>30</v>
      </c>
      <c r="AS5" s="337" t="s">
        <v>87</v>
      </c>
      <c r="AT5" s="337" t="s">
        <v>88</v>
      </c>
      <c r="AU5" s="337" t="s">
        <v>86</v>
      </c>
      <c r="AV5" s="337" t="s">
        <v>30</v>
      </c>
      <c r="AW5" s="337" t="s">
        <v>87</v>
      </c>
      <c r="AX5" s="337" t="s">
        <v>88</v>
      </c>
      <c r="AY5" s="337" t="s">
        <v>86</v>
      </c>
      <c r="AZ5" s="337" t="s">
        <v>30</v>
      </c>
      <c r="BA5" s="337" t="s">
        <v>87</v>
      </c>
      <c r="BB5" s="337" t="s">
        <v>88</v>
      </c>
      <c r="BC5" s="337" t="s">
        <v>86</v>
      </c>
      <c r="BD5" s="337" t="s">
        <v>30</v>
      </c>
      <c r="BE5" s="337" t="s">
        <v>87</v>
      </c>
      <c r="BF5" s="337" t="s">
        <v>88</v>
      </c>
      <c r="BG5" s="337" t="s">
        <v>86</v>
      </c>
      <c r="BH5" s="337" t="s">
        <v>30</v>
      </c>
      <c r="BI5" s="337" t="s">
        <v>87</v>
      </c>
      <c r="BJ5" s="337" t="s">
        <v>88</v>
      </c>
      <c r="BK5" s="337" t="s">
        <v>86</v>
      </c>
      <c r="BL5" s="337" t="s">
        <v>30</v>
      </c>
      <c r="BM5" s="337" t="s">
        <v>87</v>
      </c>
      <c r="BN5" s="337" t="s">
        <v>88</v>
      </c>
      <c r="BO5" s="337" t="s">
        <v>86</v>
      </c>
      <c r="BP5" s="337" t="s">
        <v>30</v>
      </c>
      <c r="BQ5" s="337" t="s">
        <v>87</v>
      </c>
      <c r="BR5" s="337" t="s">
        <v>88</v>
      </c>
      <c r="BS5" s="337" t="s">
        <v>86</v>
      </c>
      <c r="BT5" s="337" t="s">
        <v>30</v>
      </c>
      <c r="BU5" s="337" t="s">
        <v>87</v>
      </c>
      <c r="BV5" s="337" t="s">
        <v>88</v>
      </c>
      <c r="BW5" s="337" t="s">
        <v>86</v>
      </c>
      <c r="BX5" s="337" t="s">
        <v>30</v>
      </c>
      <c r="BY5" s="337" t="s">
        <v>87</v>
      </c>
      <c r="BZ5" s="337" t="s">
        <v>88</v>
      </c>
      <c r="CA5" s="337" t="s">
        <v>86</v>
      </c>
      <c r="CB5" s="337" t="s">
        <v>30</v>
      </c>
      <c r="CC5" s="337" t="s">
        <v>87</v>
      </c>
      <c r="CD5" s="337" t="s">
        <v>88</v>
      </c>
      <c r="CE5" s="337" t="s">
        <v>86</v>
      </c>
      <c r="CF5" s="337" t="s">
        <v>30</v>
      </c>
      <c r="CG5" s="337" t="s">
        <v>87</v>
      </c>
      <c r="CH5" s="337" t="s">
        <v>88</v>
      </c>
      <c r="CI5" s="337" t="s">
        <v>86</v>
      </c>
      <c r="CJ5" s="337" t="s">
        <v>30</v>
      </c>
      <c r="CK5" s="337" t="s">
        <v>87</v>
      </c>
      <c r="CL5" s="337" t="s">
        <v>88</v>
      </c>
      <c r="CM5" s="337" t="s">
        <v>86</v>
      </c>
      <c r="CN5" s="337" t="s">
        <v>30</v>
      </c>
      <c r="CO5" s="337" t="s">
        <v>87</v>
      </c>
      <c r="CP5" s="337" t="s">
        <v>88</v>
      </c>
      <c r="CQ5" s="337" t="s">
        <v>86</v>
      </c>
      <c r="CR5" s="337" t="s">
        <v>30</v>
      </c>
      <c r="CS5" s="337" t="s">
        <v>87</v>
      </c>
      <c r="CT5" s="337" t="s">
        <v>88</v>
      </c>
      <c r="CU5" s="337" t="s">
        <v>86</v>
      </c>
      <c r="CV5" s="337" t="s">
        <v>30</v>
      </c>
      <c r="CW5" s="337" t="s">
        <v>87</v>
      </c>
      <c r="CX5" s="337" t="s">
        <v>88</v>
      </c>
      <c r="CY5" s="337" t="s">
        <v>86</v>
      </c>
      <c r="CZ5" s="337" t="s">
        <v>30</v>
      </c>
      <c r="DA5" s="337" t="s">
        <v>87</v>
      </c>
      <c r="DB5" s="337" t="s">
        <v>88</v>
      </c>
      <c r="DC5" s="337" t="s">
        <v>86</v>
      </c>
      <c r="DD5" s="337" t="s">
        <v>30</v>
      </c>
      <c r="DE5" s="337" t="s">
        <v>87</v>
      </c>
      <c r="DF5" s="337" t="s">
        <v>88</v>
      </c>
      <c r="DG5" s="337" t="s">
        <v>86</v>
      </c>
      <c r="DH5" s="337" t="s">
        <v>30</v>
      </c>
      <c r="DI5" s="337" t="s">
        <v>87</v>
      </c>
      <c r="DJ5" s="337" t="s">
        <v>88</v>
      </c>
      <c r="DK5" s="337" t="s">
        <v>86</v>
      </c>
      <c r="DL5" s="337" t="s">
        <v>30</v>
      </c>
      <c r="DM5" s="337" t="s">
        <v>87</v>
      </c>
      <c r="DN5" s="337" t="s">
        <v>88</v>
      </c>
    </row>
    <row r="6" spans="1:118" ht="12.75" customHeight="1" x14ac:dyDescent="0.25"/>
  </sheetData>
  <protectedRanges>
    <protectedRange sqref="C5:DN5" name="Bereich1_2"/>
  </protectedRanges>
  <dataConsolidate/>
  <mergeCells count="89">
    <mergeCell ref="DK3:DN3"/>
    <mergeCell ref="A4:A5"/>
    <mergeCell ref="B4:B5"/>
    <mergeCell ref="AQ4:AT4"/>
    <mergeCell ref="AU4:AX4"/>
    <mergeCell ref="BW4:BZ4"/>
    <mergeCell ref="CA4:CD4"/>
    <mergeCell ref="CE4:CH4"/>
    <mergeCell ref="CI4:CL4"/>
    <mergeCell ref="CM4:CP4"/>
    <mergeCell ref="CQ4:CT4"/>
    <mergeCell ref="CU4:CX4"/>
    <mergeCell ref="CY4:DB4"/>
    <mergeCell ref="DC4:DF4"/>
    <mergeCell ref="DG4:DJ4"/>
    <mergeCell ref="DK4:DN4"/>
    <mergeCell ref="CY2:DB2"/>
    <mergeCell ref="DC2:DF2"/>
    <mergeCell ref="DG2:DJ2"/>
    <mergeCell ref="DK2:DN2"/>
    <mergeCell ref="AQ3:AT3"/>
    <mergeCell ref="AU3:AX3"/>
    <mergeCell ref="BW3:BZ3"/>
    <mergeCell ref="CA3:CD3"/>
    <mergeCell ref="CE3:CH3"/>
    <mergeCell ref="CI3:CL3"/>
    <mergeCell ref="CM3:CP3"/>
    <mergeCell ref="CQ3:CT3"/>
    <mergeCell ref="CU3:CX3"/>
    <mergeCell ref="CY3:DB3"/>
    <mergeCell ref="DC3:DF3"/>
    <mergeCell ref="DG3:DJ3"/>
    <mergeCell ref="CE2:CH2"/>
    <mergeCell ref="CI2:CL2"/>
    <mergeCell ref="CM2:CP2"/>
    <mergeCell ref="CQ2:CT2"/>
    <mergeCell ref="CU2:CX2"/>
    <mergeCell ref="BK2:BN2"/>
    <mergeCell ref="BO2:BR2"/>
    <mergeCell ref="BS2:BV2"/>
    <mergeCell ref="BW2:BZ2"/>
    <mergeCell ref="CA2:CD2"/>
    <mergeCell ref="AQ2:AT2"/>
    <mergeCell ref="AU2:AX2"/>
    <mergeCell ref="AY2:BB2"/>
    <mergeCell ref="BC2:BF2"/>
    <mergeCell ref="BG2:BJ2"/>
    <mergeCell ref="W2:Z2"/>
    <mergeCell ref="AA2:AD2"/>
    <mergeCell ref="AE2:AH2"/>
    <mergeCell ref="AI2:AL2"/>
    <mergeCell ref="AM2:AP2"/>
    <mergeCell ref="C2:F2"/>
    <mergeCell ref="G2:J2"/>
    <mergeCell ref="K2:N2"/>
    <mergeCell ref="O2:R2"/>
    <mergeCell ref="S2:V2"/>
    <mergeCell ref="BK4:BN4"/>
    <mergeCell ref="BO3:BR3"/>
    <mergeCell ref="BO4:BR4"/>
    <mergeCell ref="BS3:BV3"/>
    <mergeCell ref="BS4:BV4"/>
    <mergeCell ref="BK3:BN3"/>
    <mergeCell ref="O3:R3"/>
    <mergeCell ref="S3:V3"/>
    <mergeCell ref="S4:V4"/>
    <mergeCell ref="W3:Z3"/>
    <mergeCell ref="W4:Z4"/>
    <mergeCell ref="O4:R4"/>
    <mergeCell ref="AA3:AD3"/>
    <mergeCell ref="AA4:AD4"/>
    <mergeCell ref="AY3:BB3"/>
    <mergeCell ref="BC3:BF3"/>
    <mergeCell ref="BG3:BJ3"/>
    <mergeCell ref="AY4:BB4"/>
    <mergeCell ref="BC4:BF4"/>
    <mergeCell ref="BG4:BJ4"/>
    <mergeCell ref="AE3:AH3"/>
    <mergeCell ref="AE4:AH4"/>
    <mergeCell ref="AI3:AL3"/>
    <mergeCell ref="AI4:AL4"/>
    <mergeCell ref="AM3:AP3"/>
    <mergeCell ref="AM4:AP4"/>
    <mergeCell ref="K3:N3"/>
    <mergeCell ref="K4:N4"/>
    <mergeCell ref="C3:F3"/>
    <mergeCell ref="C4:F4"/>
    <mergeCell ref="G3:J3"/>
    <mergeCell ref="G4:J4"/>
  </mergeCells>
  <pageMargins left="0.7" right="0.7" top="0.78740157499999996" bottom="0.78740157499999996"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19</vt:i4>
      </vt:variant>
    </vt:vector>
  </HeadingPairs>
  <TitlesOfParts>
    <vt:vector size="23" baseType="lpstr">
      <vt:lpstr>Grunddaten</vt:lpstr>
      <vt:lpstr>Stammdaten</vt:lpstr>
      <vt:lpstr>Meilensteine</vt:lpstr>
      <vt:lpstr>History_Vorlage</vt:lpstr>
      <vt:lpstr>Aufgabe</vt:lpstr>
      <vt:lpstr>aufgabenEst</vt:lpstr>
      <vt:lpstr>aufgabenInda</vt:lpstr>
      <vt:lpstr>aufgabenSchmid</vt:lpstr>
      <vt:lpstr>Benu1</vt:lpstr>
      <vt:lpstr>Benu2</vt:lpstr>
      <vt:lpstr>Benu3</vt:lpstr>
      <vt:lpstr>Datum1</vt:lpstr>
      <vt:lpstr>Dauer</vt:lpstr>
      <vt:lpstr>Meilensteine!Druckbereich</vt:lpstr>
      <vt:lpstr>Stammdaten!Druckbereich</vt:lpstr>
      <vt:lpstr>Feiertage</vt:lpstr>
      <vt:lpstr>Next</vt:lpstr>
      <vt:lpstr>Projektende</vt:lpstr>
      <vt:lpstr>Projektstart</vt:lpstr>
      <vt:lpstr>Meilensteine!Status</vt:lpstr>
      <vt:lpstr>Status</vt:lpstr>
      <vt:lpstr>Verantwortlich</vt:lpstr>
      <vt:lpstr>Wer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Projektplan / Projektablaufplan</dc:title>
  <dc:subject>Projektplan</dc:subject>
  <dc:creator>EST GmbH &amp; Co. KG Armin Brenner</dc:creator>
  <cp:keywords>Terminplan; Projektplan; Projektzeitplan; Excel Vorlage,; Projektablaufplan</cp:keywords>
  <cp:lastModifiedBy>Armin Brenner</cp:lastModifiedBy>
  <cp:lastPrinted>2016-06-06T06:00:35Z</cp:lastPrinted>
  <dcterms:created xsi:type="dcterms:W3CDTF">2013-04-07T16:40:48Z</dcterms:created>
  <dcterms:modified xsi:type="dcterms:W3CDTF">2017-04-23T18:48:49Z</dcterms:modified>
  <cp:category>Projektplan</cp:category>
  <dc:language>Deutsch</dc:language>
  <cp:version>1.3.7</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1.3.7.f</vt:lpwstr>
  </property>
</Properties>
</file>